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Data Science\Excel Project 16Jan\"/>
    </mc:Choice>
  </mc:AlternateContent>
  <xr:revisionPtr revIDLastSave="0" documentId="13_ncr:1_{D11287BE-6511-4DA2-A3A0-28626BC36D53}" xr6:coauthVersionLast="47" xr6:coauthVersionMax="47" xr10:uidLastSave="{00000000-0000-0000-0000-000000000000}"/>
  <bookViews>
    <workbookView xWindow="-120" yWindow="-120" windowWidth="29040" windowHeight="15720" tabRatio="753" activeTab="7" xr2:uid="{00000000-000D-0000-FFFF-FFFF00000000}"/>
  </bookViews>
  <sheets>
    <sheet name="Pivot Table" sheetId="4" r:id="rId1"/>
    <sheet name="Posts" sheetId="1" r:id="rId2"/>
    <sheet name="Campaign Metadata" sheetId="3" r:id="rId3"/>
    <sheet name="Engagement Summary" sheetId="2" r:id="rId4"/>
    <sheet name="Engagement Analysis 1" sheetId="10" r:id="rId5"/>
    <sheet name="SocialMedia Platform Analysis 2" sheetId="12" r:id="rId6"/>
    <sheet name="HasTags &amp; Content Strategy 3" sheetId="13" r:id="rId7"/>
    <sheet name="Campaign Efectiveness 4" sheetId="15" r:id="rId8"/>
    <sheet name="Follower Retention &amp; Audience 5" sheetId="16" r:id="rId9"/>
    <sheet name="Video Explanation Link" sheetId="17" r:id="rId10"/>
  </sheets>
  <externalReferences>
    <externalReference r:id="rId11"/>
  </externalReferences>
  <definedNames>
    <definedName name="_xlnm._FilterDatabase" localSheetId="1" hidden="1">Posts!$A$1:$AD$301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  <pivotCache cacheId="10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4" i="15" l="1"/>
  <c r="AE35" i="15"/>
  <c r="AE36" i="15"/>
  <c r="AE33" i="15"/>
  <c r="AE28" i="15"/>
  <c r="AE29" i="15"/>
  <c r="AE30" i="15"/>
  <c r="AE27" i="15"/>
  <c r="AE22" i="15"/>
  <c r="AE23" i="15"/>
  <c r="AE24" i="15"/>
  <c r="AE21" i="15"/>
  <c r="AE16" i="15"/>
  <c r="AE17" i="15"/>
  <c r="AE18" i="15"/>
  <c r="AE15" i="15"/>
  <c r="AE10" i="15"/>
  <c r="AE11" i="15"/>
  <c r="AE12" i="15"/>
  <c r="AE9" i="15"/>
  <c r="AD2" i="15" a="1"/>
  <c r="AD2" i="15" s="1"/>
  <c r="AE2" i="15" s="1"/>
  <c r="Y20" i="12"/>
  <c r="Y19" i="12"/>
  <c r="Y18" i="12"/>
  <c r="Y17" i="12"/>
  <c r="X20" i="12"/>
  <c r="X19" i="12"/>
  <c r="X18" i="12"/>
  <c r="X17" i="12"/>
  <c r="W17" i="12" a="1"/>
  <c r="W17" i="12" s="1"/>
  <c r="C40" i="10"/>
  <c r="C37" i="10"/>
  <c r="C36" i="10"/>
  <c r="C41" i="10"/>
  <c r="C38" i="10"/>
  <c r="C39" i="10"/>
  <c r="I41" i="10"/>
  <c r="I40" i="10"/>
  <c r="I39" i="10"/>
  <c r="I38" i="10"/>
  <c r="I37" i="10"/>
  <c r="I36" i="10"/>
  <c r="Q2" i="1" a="1"/>
  <c r="Q2" i="1" s="1"/>
  <c r="D20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R9" i="1"/>
  <c r="R8" i="1"/>
  <c r="R7" i="1"/>
  <c r="R4" i="1"/>
  <c r="R3" i="1"/>
  <c r="R2" i="1"/>
  <c r="R6" i="1"/>
  <c r="R5" i="1"/>
  <c r="H174" i="2"/>
  <c r="H175" i="2"/>
  <c r="H176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G11" i="2"/>
  <c r="G12" i="2"/>
  <c r="H12" i="2" s="1"/>
  <c r="G13" i="2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G175" i="2"/>
  <c r="G176" i="2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" i="2"/>
  <c r="H2" i="2" s="1"/>
  <c r="K180" i="1"/>
  <c r="K13" i="1"/>
  <c r="K272" i="1"/>
  <c r="K16" i="1"/>
  <c r="K179" i="1"/>
  <c r="K112" i="1"/>
  <c r="K263" i="1"/>
  <c r="K242" i="1"/>
  <c r="K230" i="1"/>
  <c r="K150" i="1"/>
  <c r="K265" i="1"/>
  <c r="K221" i="1"/>
  <c r="K249" i="1"/>
  <c r="K109" i="1"/>
  <c r="K51" i="1"/>
  <c r="K210" i="1"/>
  <c r="K204" i="1"/>
  <c r="K119" i="1"/>
  <c r="K184" i="1"/>
  <c r="K269" i="1"/>
  <c r="K297" i="1"/>
  <c r="K148" i="1"/>
  <c r="K284" i="1"/>
  <c r="K236" i="1"/>
  <c r="K69" i="1"/>
  <c r="K271" i="1"/>
  <c r="K28" i="1"/>
  <c r="K147" i="1"/>
  <c r="K84" i="1"/>
  <c r="K43" i="1"/>
  <c r="K86" i="1"/>
  <c r="K162" i="1"/>
  <c r="K36" i="1"/>
  <c r="K299" i="1"/>
  <c r="K231" i="1"/>
  <c r="K44" i="1"/>
  <c r="K104" i="1"/>
  <c r="K142" i="1"/>
  <c r="K219" i="1"/>
  <c r="K35" i="1"/>
  <c r="K89" i="1"/>
  <c r="K151" i="1"/>
  <c r="K226" i="1"/>
  <c r="K73" i="1"/>
  <c r="K59" i="1"/>
  <c r="K161" i="1"/>
  <c r="K208" i="1"/>
  <c r="K101" i="1"/>
  <c r="K118" i="1"/>
  <c r="K245" i="1"/>
  <c r="K168" i="1"/>
  <c r="K277" i="1"/>
  <c r="K34" i="1"/>
  <c r="K223" i="1"/>
  <c r="K22" i="1"/>
  <c r="K183" i="1"/>
  <c r="K187" i="1"/>
  <c r="K54" i="1"/>
  <c r="K19" i="1"/>
  <c r="K2" i="1"/>
  <c r="K279" i="1"/>
  <c r="K20" i="1"/>
  <c r="K75" i="1"/>
  <c r="K4" i="1"/>
  <c r="K90" i="1"/>
  <c r="K281" i="1"/>
  <c r="K257" i="1"/>
  <c r="K12" i="1"/>
  <c r="K224" i="1"/>
  <c r="K117" i="1"/>
  <c r="K99" i="1"/>
  <c r="K293" i="1"/>
  <c r="K268" i="1"/>
  <c r="K74" i="1"/>
  <c r="K55" i="1"/>
  <c r="K6" i="1"/>
  <c r="K241" i="1"/>
  <c r="K244" i="1"/>
  <c r="K71" i="1"/>
  <c r="K108" i="1"/>
  <c r="K96" i="1"/>
  <c r="K163" i="1"/>
  <c r="K253" i="1"/>
  <c r="K238" i="1"/>
  <c r="K216" i="1"/>
  <c r="K144" i="1"/>
  <c r="K80" i="1"/>
  <c r="K194" i="1"/>
  <c r="K294" i="1"/>
  <c r="K39" i="1"/>
  <c r="K17" i="1"/>
  <c r="K110" i="1"/>
  <c r="K206" i="1"/>
  <c r="K3" i="1"/>
  <c r="K260" i="1"/>
  <c r="K261" i="1"/>
  <c r="K217" i="1"/>
  <c r="K225" i="1"/>
  <c r="K220" i="1"/>
  <c r="K235" i="1"/>
  <c r="K126" i="1"/>
  <c r="K164" i="1"/>
  <c r="K222" i="1"/>
  <c r="K239" i="1"/>
  <c r="K213" i="1"/>
  <c r="K25" i="1"/>
  <c r="K246" i="1"/>
  <c r="K237" i="1"/>
  <c r="K122" i="1"/>
  <c r="K255" i="1"/>
  <c r="K196" i="1"/>
  <c r="K160" i="1"/>
  <c r="K123" i="1"/>
  <c r="K82" i="1"/>
  <c r="K143" i="1"/>
  <c r="K211" i="1"/>
  <c r="K153" i="1"/>
  <c r="K53" i="1"/>
  <c r="K301" i="1"/>
  <c r="K203" i="1"/>
  <c r="K291" i="1"/>
  <c r="K47" i="1"/>
  <c r="K264" i="1"/>
  <c r="K171" i="1"/>
  <c r="K94" i="1"/>
  <c r="K166" i="1"/>
  <c r="K67" i="1"/>
  <c r="K256" i="1"/>
  <c r="K91" i="1"/>
  <c r="K7" i="1"/>
  <c r="K278" i="1"/>
  <c r="K159" i="1"/>
  <c r="K33" i="1"/>
  <c r="K115" i="1"/>
  <c r="K95" i="1"/>
  <c r="K5" i="1"/>
  <c r="K102" i="1"/>
  <c r="K145" i="1"/>
  <c r="K193" i="1"/>
  <c r="K169" i="1"/>
  <c r="K188" i="1"/>
  <c r="K76" i="1"/>
  <c r="K38" i="1"/>
  <c r="K275" i="1"/>
  <c r="K186" i="1"/>
  <c r="K78" i="1"/>
  <c r="K282" i="1"/>
  <c r="K276" i="1"/>
  <c r="K18" i="1"/>
  <c r="K48" i="1"/>
  <c r="K72" i="1"/>
  <c r="K207" i="1"/>
  <c r="K85" i="1"/>
  <c r="K121" i="1"/>
  <c r="K130" i="1"/>
  <c r="K209" i="1"/>
  <c r="K195" i="1"/>
  <c r="K88" i="1"/>
  <c r="K66" i="1"/>
  <c r="K132" i="1"/>
  <c r="K29" i="1"/>
  <c r="K52" i="1"/>
  <c r="K97" i="1"/>
  <c r="K285" i="1"/>
  <c r="K105" i="1"/>
  <c r="K156" i="1"/>
  <c r="K15" i="1"/>
  <c r="K50" i="1"/>
  <c r="K56" i="1"/>
  <c r="K215" i="1"/>
  <c r="K248" i="1"/>
  <c r="K41" i="1"/>
  <c r="K201" i="1"/>
  <c r="K247" i="1"/>
  <c r="K133" i="1"/>
  <c r="K287" i="1"/>
  <c r="K175" i="1"/>
  <c r="K63" i="1"/>
  <c r="K40" i="1"/>
  <c r="K212" i="1"/>
  <c r="K176" i="1"/>
  <c r="K290" i="1"/>
  <c r="K251" i="1"/>
  <c r="K191" i="1"/>
  <c r="K103" i="1"/>
  <c r="K173" i="1"/>
  <c r="K131" i="1"/>
  <c r="K227" i="1"/>
  <c r="K266" i="1"/>
  <c r="K83" i="1"/>
  <c r="K155" i="1"/>
  <c r="K300" i="1"/>
  <c r="K296" i="1"/>
  <c r="K98" i="1"/>
  <c r="K139" i="1"/>
  <c r="K92" i="1"/>
  <c r="K157" i="1"/>
  <c r="K114" i="1"/>
  <c r="K129" i="1"/>
  <c r="K152" i="1"/>
  <c r="K177" i="1"/>
  <c r="K21" i="1"/>
  <c r="K46" i="1"/>
  <c r="K181" i="1"/>
  <c r="K205" i="1"/>
  <c r="K158" i="1"/>
  <c r="K127" i="1"/>
  <c r="K8" i="1"/>
  <c r="K42" i="1"/>
  <c r="K64" i="1"/>
  <c r="K107" i="1"/>
  <c r="K295" i="1"/>
  <c r="K26" i="1"/>
  <c r="K229" i="1"/>
  <c r="K190" i="1"/>
  <c r="K270" i="1"/>
  <c r="K214" i="1"/>
  <c r="K141" i="1"/>
  <c r="K218" i="1"/>
  <c r="K37" i="1"/>
  <c r="K11" i="1"/>
  <c r="K106" i="1"/>
  <c r="K240" i="1"/>
  <c r="K137" i="1"/>
  <c r="K202" i="1"/>
  <c r="K232" i="1"/>
  <c r="K30" i="1"/>
  <c r="K154" i="1"/>
  <c r="K197" i="1"/>
  <c r="K234" i="1"/>
  <c r="K286" i="1"/>
  <c r="K60" i="1"/>
  <c r="K23" i="1"/>
  <c r="K149" i="1"/>
  <c r="K113" i="1"/>
  <c r="K280" i="1"/>
  <c r="K10" i="1"/>
  <c r="K259" i="1"/>
  <c r="K140" i="1"/>
  <c r="K93" i="1"/>
  <c r="K172" i="1"/>
  <c r="K252" i="1"/>
  <c r="K14" i="1"/>
  <c r="K254" i="1"/>
  <c r="K49" i="1"/>
  <c r="K62" i="1"/>
  <c r="K116" i="1"/>
  <c r="K24" i="1"/>
  <c r="K174" i="1"/>
  <c r="K243" i="1"/>
  <c r="K298" i="1"/>
  <c r="K120" i="1"/>
  <c r="K288" i="1"/>
  <c r="K258" i="1"/>
  <c r="K273" i="1"/>
  <c r="K79" i="1"/>
  <c r="K31" i="1"/>
  <c r="K111" i="1"/>
  <c r="K61" i="1"/>
  <c r="K165" i="1"/>
  <c r="K267" i="1"/>
  <c r="K136" i="1"/>
  <c r="K189" i="1"/>
  <c r="K124" i="1"/>
  <c r="K70" i="1"/>
  <c r="K233" i="1"/>
  <c r="K81" i="1"/>
  <c r="K262" i="1"/>
  <c r="K182" i="1"/>
  <c r="K250" i="1"/>
  <c r="K9" i="1"/>
  <c r="K65" i="1"/>
  <c r="K128" i="1"/>
  <c r="K134" i="1"/>
  <c r="K125" i="1"/>
  <c r="K228" i="1"/>
  <c r="K199" i="1"/>
  <c r="K32" i="1"/>
  <c r="K167" i="1"/>
  <c r="K289" i="1"/>
  <c r="K170" i="1"/>
  <c r="K68" i="1"/>
  <c r="K58" i="1"/>
  <c r="K283" i="1"/>
  <c r="K138" i="1"/>
  <c r="K87" i="1"/>
  <c r="K27" i="1"/>
  <c r="K146" i="1"/>
  <c r="K100" i="1"/>
  <c r="K185" i="1"/>
  <c r="K45" i="1"/>
  <c r="K274" i="1"/>
  <c r="K57" i="1"/>
  <c r="K200" i="1"/>
  <c r="K192" i="1"/>
  <c r="K77" i="1"/>
  <c r="K135" i="1"/>
  <c r="K178" i="1"/>
  <c r="K292" i="1"/>
  <c r="K198" i="1"/>
  <c r="J63" i="1"/>
  <c r="J180" i="1"/>
  <c r="J183" i="1"/>
  <c r="J85" i="1"/>
  <c r="J112" i="1"/>
  <c r="J106" i="1"/>
  <c r="J94" i="1"/>
  <c r="J61" i="1"/>
  <c r="J42" i="1"/>
  <c r="J184" i="1"/>
  <c r="J174" i="1"/>
  <c r="J256" i="1"/>
  <c r="J64" i="1"/>
  <c r="J87" i="1"/>
  <c r="J114" i="1"/>
  <c r="J58" i="1"/>
  <c r="J141" i="1"/>
  <c r="J261" i="1"/>
  <c r="J67" i="1"/>
  <c r="J20" i="1"/>
  <c r="J238" i="1"/>
  <c r="J215" i="1"/>
  <c r="J74" i="1"/>
  <c r="J150" i="1"/>
  <c r="J137" i="1"/>
  <c r="J220" i="1"/>
  <c r="J283" i="1"/>
  <c r="J198" i="1"/>
  <c r="J163" i="1"/>
  <c r="J293" i="1"/>
  <c r="J209" i="1"/>
  <c r="J230" i="1"/>
  <c r="J234" i="1"/>
  <c r="J121" i="1"/>
  <c r="J43" i="1"/>
  <c r="J107" i="1"/>
  <c r="J148" i="1"/>
  <c r="J103" i="1"/>
  <c r="J33" i="1"/>
  <c r="J269" i="1"/>
  <c r="J200" i="1"/>
  <c r="J188" i="1"/>
  <c r="J155" i="1"/>
  <c r="J135" i="1"/>
  <c r="J270" i="1"/>
  <c r="J145" i="1"/>
  <c r="J197" i="1"/>
  <c r="J177" i="1"/>
  <c r="J178" i="1"/>
  <c r="J181" i="1"/>
  <c r="J257" i="1"/>
  <c r="J271" i="1"/>
  <c r="J170" i="1"/>
  <c r="J275" i="1"/>
  <c r="J134" i="1"/>
  <c r="J144" i="1"/>
  <c r="J290" i="1"/>
  <c r="J191" i="1"/>
  <c r="J242" i="1"/>
  <c r="J2" i="1"/>
  <c r="J299" i="1"/>
  <c r="J83" i="1"/>
  <c r="J149" i="1"/>
  <c r="J214" i="1"/>
  <c r="J291" i="1"/>
  <c r="J28" i="1"/>
  <c r="J172" i="1"/>
  <c r="J218" i="1"/>
  <c r="J274" i="1"/>
  <c r="J142" i="1"/>
  <c r="J300" i="1"/>
  <c r="J54" i="1"/>
  <c r="J226" i="1"/>
  <c r="J202" i="1"/>
  <c r="J280" i="1"/>
  <c r="J251" i="1"/>
  <c r="J265" i="1"/>
  <c r="J151" i="1"/>
  <c r="J168" i="1"/>
  <c r="J243" i="1"/>
  <c r="J281" i="1"/>
  <c r="J263" i="1"/>
  <c r="J171" i="1"/>
  <c r="J77" i="1"/>
  <c r="J133" i="1"/>
  <c r="J199" i="1"/>
  <c r="J294" i="1"/>
  <c r="J208" i="1"/>
  <c r="J66" i="1"/>
  <c r="J239" i="1"/>
  <c r="J46" i="1"/>
  <c r="J219" i="1"/>
  <c r="J166" i="1"/>
  <c r="J131" i="1"/>
  <c r="J236" i="1"/>
  <c r="J29" i="1"/>
  <c r="J190" i="1"/>
  <c r="J76" i="1"/>
  <c r="J225" i="1"/>
  <c r="J22" i="1"/>
  <c r="J231" i="1"/>
  <c r="J120" i="1"/>
  <c r="J93" i="1"/>
  <c r="J296" i="1"/>
  <c r="J8" i="1"/>
  <c r="J15" i="1"/>
  <c r="J36" i="1"/>
  <c r="J110" i="1"/>
  <c r="J81" i="1"/>
  <c r="J173" i="1"/>
  <c r="J169" i="1"/>
  <c r="J57" i="1"/>
  <c r="J45" i="1"/>
  <c r="J204" i="1"/>
  <c r="J105" i="1"/>
  <c r="J216" i="1"/>
  <c r="J27" i="1"/>
  <c r="J165" i="1"/>
  <c r="J240" i="1"/>
  <c r="J262" i="1"/>
  <c r="J97" i="1"/>
  <c r="J48" i="1"/>
  <c r="J254" i="1"/>
  <c r="J70" i="1"/>
  <c r="J89" i="1"/>
  <c r="J90" i="1"/>
  <c r="J154" i="1"/>
  <c r="J179" i="1"/>
  <c r="J158" i="1"/>
  <c r="J16" i="1"/>
  <c r="J185" i="1"/>
  <c r="J201" i="1"/>
  <c r="J122" i="1"/>
  <c r="J68" i="1"/>
  <c r="J95" i="1"/>
  <c r="J164" i="1"/>
  <c r="J295" i="1"/>
  <c r="J167" i="1"/>
  <c r="J187" i="1"/>
  <c r="J99" i="1"/>
  <c r="J196" i="1"/>
  <c r="J298" i="1"/>
  <c r="J3" i="1"/>
  <c r="J232" i="1"/>
  <c r="J124" i="1"/>
  <c r="J123" i="1"/>
  <c r="J65" i="1"/>
  <c r="J206" i="1"/>
  <c r="J26" i="1"/>
  <c r="J130" i="1"/>
  <c r="J18" i="1"/>
  <c r="J282" i="1"/>
  <c r="J228" i="1"/>
  <c r="J207" i="1"/>
  <c r="J80" i="1"/>
  <c r="J47" i="1"/>
  <c r="J210" i="1"/>
  <c r="J195" i="1"/>
  <c r="J252" i="1"/>
  <c r="J9" i="1"/>
  <c r="J116" i="1"/>
  <c r="J41" i="1"/>
  <c r="J4" i="1"/>
  <c r="J153" i="1"/>
  <c r="J255" i="1"/>
  <c r="J17" i="1"/>
  <c r="J160" i="1"/>
  <c r="J109" i="1"/>
  <c r="J86" i="1"/>
  <c r="J250" i="1"/>
  <c r="J136" i="1"/>
  <c r="J224" i="1"/>
  <c r="J113" i="1"/>
  <c r="J286" i="1"/>
  <c r="J118" i="1"/>
  <c r="J126" i="1"/>
  <c r="J289" i="1"/>
  <c r="J73" i="1"/>
  <c r="J104" i="1"/>
  <c r="J246" i="1"/>
  <c r="J40" i="1"/>
  <c r="J277" i="1"/>
  <c r="J101" i="1"/>
  <c r="J82" i="1"/>
  <c r="J84" i="1"/>
  <c r="J223" i="1"/>
  <c r="J156" i="1"/>
  <c r="J100" i="1"/>
  <c r="J229" i="1"/>
  <c r="J23" i="1"/>
  <c r="J237" i="1"/>
  <c r="J34" i="1"/>
  <c r="J49" i="1"/>
  <c r="J259" i="1"/>
  <c r="J213" i="1"/>
  <c r="J21" i="1"/>
  <c r="J245" i="1"/>
  <c r="J176" i="1"/>
  <c r="J98" i="1"/>
  <c r="J278" i="1"/>
  <c r="J217" i="1"/>
  <c r="J117" i="1"/>
  <c r="J159" i="1"/>
  <c r="J78" i="1"/>
  <c r="J267" i="1"/>
  <c r="J69" i="1"/>
  <c r="J132" i="1"/>
  <c r="J143" i="1"/>
  <c r="J260" i="1"/>
  <c r="J221" i="1"/>
  <c r="J79" i="1"/>
  <c r="J138" i="1"/>
  <c r="J264" i="1"/>
  <c r="J7" i="1"/>
  <c r="J253" i="1"/>
  <c r="J14" i="1"/>
  <c r="J193" i="1"/>
  <c r="J249" i="1"/>
  <c r="J288" i="1"/>
  <c r="J62" i="1"/>
  <c r="J192" i="1"/>
  <c r="J139" i="1"/>
  <c r="J276" i="1"/>
  <c r="J56" i="1"/>
  <c r="J227" i="1"/>
  <c r="J297" i="1"/>
  <c r="J10" i="1"/>
  <c r="J13" i="1"/>
  <c r="J125" i="1"/>
  <c r="J247" i="1"/>
  <c r="J287" i="1"/>
  <c r="J194" i="1"/>
  <c r="J248" i="1"/>
  <c r="J92" i="1"/>
  <c r="J258" i="1"/>
  <c r="J75" i="1"/>
  <c r="J25" i="1"/>
  <c r="J38" i="1"/>
  <c r="J273" i="1"/>
  <c r="J30" i="1"/>
  <c r="J35" i="1"/>
  <c r="J72" i="1"/>
  <c r="J6" i="1"/>
  <c r="J51" i="1"/>
  <c r="J268" i="1"/>
  <c r="J111" i="1"/>
  <c r="J284" i="1"/>
  <c r="J279" i="1"/>
  <c r="J59" i="1"/>
  <c r="J212" i="1"/>
  <c r="J205" i="1"/>
  <c r="J88" i="1"/>
  <c r="J186" i="1"/>
  <c r="J91" i="1"/>
  <c r="J222" i="1"/>
  <c r="J128" i="1"/>
  <c r="J102" i="1"/>
  <c r="J292" i="1"/>
  <c r="J32" i="1"/>
  <c r="J5" i="1"/>
  <c r="J272" i="1"/>
  <c r="J152" i="1"/>
  <c r="J301" i="1"/>
  <c r="J189" i="1"/>
  <c r="J50" i="1"/>
  <c r="J108" i="1"/>
  <c r="J60" i="1"/>
  <c r="J52" i="1"/>
  <c r="J119" i="1"/>
  <c r="J96" i="1"/>
  <c r="J19" i="1"/>
  <c r="J129" i="1"/>
  <c r="J115" i="1"/>
  <c r="J182" i="1"/>
  <c r="J244" i="1"/>
  <c r="J39" i="1"/>
  <c r="J24" i="1"/>
  <c r="J11" i="1"/>
  <c r="J31" i="1"/>
  <c r="J147" i="1"/>
  <c r="J235" i="1"/>
  <c r="J140" i="1"/>
  <c r="J285" i="1"/>
  <c r="J71" i="1"/>
  <c r="J127" i="1"/>
  <c r="J233" i="1"/>
  <c r="J12" i="1"/>
  <c r="J162" i="1"/>
  <c r="J175" i="1"/>
  <c r="J55" i="1"/>
  <c r="J266" i="1"/>
  <c r="J146" i="1"/>
  <c r="J44" i="1"/>
  <c r="J211" i="1"/>
  <c r="J157" i="1"/>
  <c r="J203" i="1"/>
  <c r="J53" i="1"/>
  <c r="J161" i="1"/>
  <c r="J37" i="1"/>
  <c r="J241" i="1"/>
  <c r="AE5" i="15" l="1"/>
  <c r="AE4" i="15"/>
  <c r="AE3" i="15"/>
  <c r="F2" i="3"/>
  <c r="N3" i="2"/>
  <c r="O3" i="2" s="1"/>
  <c r="N5" i="2"/>
  <c r="O5" i="2" s="1"/>
  <c r="N2" i="2"/>
  <c r="O2" i="2" s="1"/>
  <c r="H13" i="2"/>
  <c r="H11" i="2"/>
  <c r="H10" i="2"/>
  <c r="N4" i="2"/>
  <c r="O4" i="2" s="1"/>
  <c r="F3" i="3"/>
  <c r="F5" i="3"/>
  <c r="F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tc={DFEE78F5-91BC-4264-B910-65D6BB38929A}</author>
  </authors>
  <commentList>
    <comment ref="K2" authorId="0" shapeId="0" xr:uid="{DFEE78F5-91BC-4264-B910-65D6BB38929A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10 Posts by engagement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tc={1F35166A-3446-412C-B741-60D1D43EF7DE}</author>
  </authors>
  <commentList>
    <comment ref="C44" authorId="0" shapeId="0" xr:uid="{1F35166A-3446-412C-B741-60D1D4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Top 10 Posts by engagement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<sst xmlns="http://schemas.openxmlformats.org/spreadsheetml/2006/main" count="2953" uniqueCount="657">
  <si>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</si>
  <si>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</si>
  <si>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</si>
  <si>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</si>
  <si>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</si>
  <si>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</si>
  <si>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</si>
  <si>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</si>
  <si>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</si>
  <si>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</si>
  <si>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</si>
  <si>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</si>
  <si>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</si>
  <si>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</si>
  <si>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2024-12-23</t>
  </si>
  <si>
    <t>Reel</t>
  </si>
  <si>
    <t>Check out our latest reel on twitter!</t>
  </si>
  <si>
    <t>SummerSplash</t>
  </si>
  <si>
    <t>P002</t>
  </si>
  <si>
    <t>2025-04-03</t>
  </si>
  <si>
    <t>Text</t>
  </si>
  <si>
    <t>Check out our latest text on twitter!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</si>
  <si>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</si>
  <si>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</si>
  <si>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</si>
  <si>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</si>
  <si>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</si>
  <si>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</si>
  <si>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</si>
  <si>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</si>
  <si>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</si>
  <si>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</si>
  <si>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</si>
  <si>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</si>
  <si>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</si>
  <si>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</si>
  <si>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</si>
  <si>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</si>
  <si>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</si>
  <si>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</si>
  <si>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</si>
  <si>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</si>
  <si>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</si>
  <si>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</si>
  <si>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</si>
  <si>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</si>
  <si>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</si>
  <si>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</si>
  <si>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</si>
  <si>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</si>
  <si>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</si>
  <si>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</si>
  <si>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</si>
  <si>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</si>
  <si>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</si>
  <si>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</si>
  <si>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</si>
  <si>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</si>
  <si>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</si>
  <si>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</si>
  <si>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</si>
  <si>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</si>
  <si>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</si>
  <si>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</si>
  <si>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</si>
  <si>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</si>
  <si>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</si>
  <si>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</si>
  <si>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</si>
  <si>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</si>
  <si>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</si>
  <si>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</si>
  <si>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</si>
  <si>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</si>
  <si>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</si>
  <si>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</si>
  <si>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</si>
  <si>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</si>
  <si>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</si>
  <si>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</si>
  <si>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</si>
  <si>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</si>
  <si>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</si>
  <si>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</si>
  <si>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</si>
  <si>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</si>
  <si>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</si>
  <si>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</si>
  <si>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</si>
  <si>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</si>
  <si>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</si>
  <si>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</si>
  <si>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</si>
  <si>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</si>
  <si>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</si>
  <si>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</si>
  <si>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</si>
  <si>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</si>
  <si>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</si>
  <si>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</si>
  <si>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</si>
  <si>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</si>
  <si>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</si>
  <si>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</si>
  <si>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</si>
  <si>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</si>
  <si>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</si>
  <si>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</si>
  <si>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</si>
  <si>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</si>
  <si>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</si>
  <si>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</si>
  <si>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</si>
  <si>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</si>
  <si>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</si>
  <si>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</si>
  <si>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</si>
  <si>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</si>
  <si>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</si>
  <si>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</si>
  <si>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</si>
  <si>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</si>
  <si>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</si>
  <si>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</si>
  <si>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</si>
  <si>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</si>
  <si>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</si>
  <si>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</si>
  <si>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</si>
  <si>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</si>
  <si>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</si>
  <si>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</si>
  <si>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</si>
  <si>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</si>
  <si>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</si>
  <si>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</si>
  <si>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</si>
  <si>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</si>
  <si>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</si>
  <si>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</si>
  <si>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</si>
  <si>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</si>
  <si>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</si>
  <si>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</si>
  <si>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</si>
  <si>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</si>
  <si>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</si>
  <si>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</si>
  <si>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</si>
  <si>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</si>
  <si>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</si>
  <si>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</si>
  <si>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</si>
  <si>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</si>
  <si>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</si>
  <si>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</si>
  <si>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</si>
  <si>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</si>
  <si>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</si>
  <si>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</si>
  <si>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</si>
  <si>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</si>
  <si>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</si>
  <si>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</si>
  <si>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</si>
  <si>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</si>
  <si>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</si>
  <si>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</si>
  <si>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</si>
  <si>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</si>
  <si>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</si>
  <si>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</si>
  <si>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</si>
  <si>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</si>
  <si>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</si>
  <si>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</si>
  <si>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</si>
  <si>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</si>
  <si>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</si>
  <si>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</si>
  <si>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</si>
  <si>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</si>
  <si>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</si>
  <si>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</si>
  <si>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</si>
  <si>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</si>
  <si>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</si>
  <si>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</si>
  <si>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</si>
  <si>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</si>
  <si>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</si>
  <si>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</si>
  <si>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</si>
  <si>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</si>
  <si>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</si>
  <si>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</si>
  <si>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</si>
  <si>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</si>
  <si>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</si>
  <si>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</si>
  <si>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</si>
  <si>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</si>
  <si>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</si>
  <si>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</si>
  <si>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</si>
  <si>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</si>
  <si>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</si>
  <si>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</si>
  <si>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</si>
  <si>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</si>
  <si>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</si>
  <si>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</si>
  <si>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</si>
  <si>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</si>
  <si>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</si>
  <si>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</si>
  <si>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</si>
  <si>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</si>
  <si>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</si>
  <si>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</si>
  <si>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</si>
  <si>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</si>
  <si>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</si>
  <si>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</si>
  <si>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</si>
  <si>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</si>
  <si>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</si>
  <si>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</si>
  <si>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</si>
  <si>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</si>
  <si>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</si>
  <si>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</si>
  <si>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</si>
  <si>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</si>
  <si>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</si>
  <si>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</si>
  <si>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</si>
  <si>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</si>
  <si>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</si>
  <si>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</si>
  <si>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</si>
  <si>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</si>
  <si>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</si>
  <si>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</si>
  <si>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</si>
  <si>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</si>
  <si>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</si>
  <si>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</si>
  <si>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</si>
  <si>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</si>
  <si>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</si>
  <si>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</si>
  <si>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</si>
  <si>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</si>
  <si>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</si>
  <si>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</si>
  <si>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</si>
  <si>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</si>
  <si>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</si>
  <si>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</si>
  <si>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</si>
  <si>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</si>
  <si>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</si>
  <si>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</si>
  <si>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</si>
  <si>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</si>
  <si>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</si>
  <si>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</si>
  <si>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</si>
  <si>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</si>
  <si>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</si>
  <si>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</si>
  <si>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</si>
  <si>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</si>
  <si>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</si>
  <si>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</si>
  <si>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</si>
  <si>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</si>
  <si>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</si>
  <si>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</si>
  <si>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</si>
  <si>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</si>
  <si>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</si>
  <si>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</si>
  <si>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</si>
  <si>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</si>
  <si>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</si>
  <si>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</si>
  <si>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</si>
  <si>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</si>
  <si>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</si>
  <si>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</si>
  <si>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</si>
  <si>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</si>
  <si>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</si>
  <si>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</si>
  <si>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</si>
  <si>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</si>
  <si>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</si>
  <si>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</si>
  <si>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</si>
  <si>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</si>
  <si>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</si>
  <si>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</si>
  <si>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</si>
  <si>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</si>
  <si>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</si>
  <si>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</si>
  <si>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</si>
  <si>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</si>
  <si>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</si>
  <si>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</si>
  <si>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</si>
  <si>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</si>
  <si>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</si>
  <si>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</si>
  <si>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</si>
  <si>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</si>
  <si>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</si>
  <si>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</si>
  <si>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</si>
  <si>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</si>
  <si>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</si>
  <si>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</si>
  <si>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</si>
  <si>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</si>
  <si>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</si>
  <si>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</si>
  <si>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</si>
  <si>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</si>
  <si>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</si>
  <si>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</si>
  <si>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</si>
  <si>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</si>
  <si>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</si>
  <si>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</si>
  <si>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</si>
  <si>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</si>
  <si>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</si>
  <si>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</si>
  <si>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</si>
  <si>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</si>
  <si>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</si>
  <si>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</si>
  <si>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</si>
  <si>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</si>
  <si>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</si>
  <si>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</si>
  <si>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</si>
  <si>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</si>
  <si>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</si>
  <si>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</si>
  <si>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</si>
  <si>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</si>
  <si>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</si>
  <si>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</si>
  <si>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</si>
  <si>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</si>
  <si>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</si>
  <si>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</si>
  <si>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</si>
  <si>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</si>
  <si>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</si>
  <si>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</si>
  <si>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</si>
  <si>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</si>
  <si>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</si>
  <si>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</si>
  <si>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</si>
  <si>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</si>
  <si>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</si>
  <si>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</si>
  <si>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</si>
  <si>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</si>
  <si>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</si>
  <si>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</si>
  <si>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</si>
  <si>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</si>
  <si>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</si>
  <si>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</si>
  <si>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</si>
  <si>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</si>
  <si>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</si>
  <si>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</si>
  <si>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</si>
  <si>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</si>
  <si>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</si>
  <si>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</si>
  <si>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</si>
  <si>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</si>
  <si>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</si>
  <si>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</si>
  <si>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</si>
  <si>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</si>
  <si>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</si>
  <si>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</si>
  <si>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</si>
  <si>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</si>
  <si>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</si>
  <si>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</si>
  <si>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</si>
  <si>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</si>
  <si>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</si>
  <si>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</si>
  <si>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</si>
  <si>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</si>
  <si>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</si>
  <si>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</si>
  <si>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</si>
  <si>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</si>
  <si>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</si>
  <si>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</si>
  <si>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</si>
  <si>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</si>
  <si>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</si>
  <si>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</si>
  <si>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</si>
  <si>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</si>
  <si>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</si>
  <si>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</si>
  <si>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</si>
  <si>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</si>
  <si>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</si>
  <si>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</si>
  <si>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</si>
  <si>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</si>
  <si>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</si>
  <si>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</si>
  <si>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</si>
  <si>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</si>
  <si>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</si>
  <si>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</si>
  <si>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</si>
  <si>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</si>
  <si>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</si>
  <si>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</si>
  <si>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</si>
  <si>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</si>
  <si>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</si>
  <si>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</si>
  <si>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</si>
  <si>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</si>
  <si>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</si>
  <si>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</si>
  <si>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</si>
  <si>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</si>
  <si>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</si>
  <si>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</si>
  <si>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</si>
  <si>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</si>
  <si>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</si>
  <si>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</si>
  <si>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</si>
  <si>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</si>
  <si>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</si>
  <si>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</si>
  <si>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</si>
  <si>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</si>
  <si>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</si>
  <si>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</si>
  <si>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</si>
  <si>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</si>
  <si>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</si>
  <si>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</si>
  <si>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</si>
  <si>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</si>
  <si>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</si>
  <si>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</si>
  <si>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</si>
  <si>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</si>
  <si>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</si>
  <si>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</si>
  <si>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</si>
  <si>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</si>
  <si>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</si>
  <si>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</si>
  <si>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</si>
  <si>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</si>
  <si>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</si>
  <si>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</si>
  <si>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</si>
  <si>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</si>
  <si>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</si>
  <si>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</si>
  <si>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</si>
  <si>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</si>
  <si>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</si>
  <si>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</si>
  <si>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</si>
  <si>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</si>
  <si>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</si>
  <si>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</si>
  <si>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</si>
  <si>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</si>
  <si>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</si>
  <si>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</si>
  <si>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</si>
  <si>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</si>
  <si>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</si>
  <si>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</si>
  <si>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</si>
  <si>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</si>
  <si>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</si>
  <si>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</si>
  <si>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</si>
  <si>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</si>
  <si>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</si>
  <si>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</si>
  <si>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</si>
  <si>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</si>
  <si>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</si>
  <si>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</si>
  <si>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</si>
  <si>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</si>
  <si>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</si>
  <si>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</si>
  <si>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</si>
  <si>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</si>
  <si>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</si>
  <si>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</si>
  <si>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</si>
  <si>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</si>
  <si>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</si>
  <si>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</si>
  <si>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</si>
  <si>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</si>
  <si>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</si>
  <si>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</si>
  <si>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</si>
  <si>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</si>
  <si>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</si>
  <si>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</si>
  <si>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</si>
  <si>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</si>
  <si>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</si>
  <si>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</si>
  <si>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</si>
  <si>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</si>
  <si>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</si>
  <si>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</si>
  <si>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</si>
  <si>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</si>
  <si>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</si>
  <si>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</si>
  <si>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</si>
  <si>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</si>
  <si>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</si>
  <si>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</si>
  <si>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</si>
  <si>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</si>
  <si>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</si>
  <si>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</si>
  <si>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</si>
  <si>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</si>
  <si>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</si>
  <si>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</si>
  <si>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</si>
  <si>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</si>
  <si>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</si>
  <si>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</si>
  <si>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</si>
  <si>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</si>
  <si>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</si>
  <si>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</si>
  <si>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</si>
  <si>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</si>
  <si>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</si>
  <si>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</si>
  <si>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</si>
  <si>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</si>
  <si>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</si>
  <si>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</si>
  <si>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</si>
  <si>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</si>
  <si>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</si>
  <si>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</si>
  <si>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</si>
  <si>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</si>
  <si>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</si>
  <si>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</si>
  <si>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</si>
  <si>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</si>
  <si>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</si>
  <si>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</si>
  <si>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</si>
  <si>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</si>
  <si>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</si>
  <si>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</si>
  <si>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</si>
  <si>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</si>
  <si>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</si>
  <si>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</si>
  <si>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</si>
  <si>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</si>
  <si>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</si>
  <si>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</si>
  <si>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</si>
  <si>
    <t>#AnytimeIsPepsiTime</t>
  </si>
  <si>
    <t>#BetterWithPepsi</t>
  </si>
  <si>
    <t>Hashtags 1</t>
  </si>
  <si>
    <t>Hashtags 2</t>
  </si>
  <si>
    <t>Hashtags 3</t>
  </si>
  <si>
    <t>Average Engagement Rate</t>
  </si>
  <si>
    <t xml:space="preserve">Total Engagement </t>
  </si>
  <si>
    <t>Row Labels</t>
  </si>
  <si>
    <t>Grand Total</t>
  </si>
  <si>
    <t xml:space="preserve">Sum of Total Engagement </t>
  </si>
  <si>
    <t>Sum of Shares</t>
  </si>
  <si>
    <t>Sum of Clicks</t>
  </si>
  <si>
    <t>Unique Hashtags</t>
  </si>
  <si>
    <t>Folower Growth</t>
  </si>
  <si>
    <t>Net follwers -/+</t>
  </si>
  <si>
    <t>Sum of Ad_Spend</t>
  </si>
  <si>
    <t>Count of Hashtags</t>
  </si>
  <si>
    <t>Sum of Count of Hashtags</t>
  </si>
  <si>
    <t>Sum of Reach</t>
  </si>
  <si>
    <t>Sum of Average Engagement Rate</t>
  </si>
  <si>
    <t>During</t>
  </si>
  <si>
    <t>During SummerSplash or Not</t>
  </si>
  <si>
    <t>During DailyWellness or Not</t>
  </si>
  <si>
    <t>During NewYearRefresh or Not</t>
  </si>
  <si>
    <t>During FestiveRadiance or Not</t>
  </si>
  <si>
    <t>Before/After</t>
  </si>
  <si>
    <t>Total Engaagement During Campaign</t>
  </si>
  <si>
    <t>Sum of Total Engaagement During Campaign</t>
  </si>
  <si>
    <t>Sum of Total_Budget</t>
  </si>
  <si>
    <t>Summer Splash</t>
  </si>
  <si>
    <t>Festive Radience</t>
  </si>
  <si>
    <t>Daily Wellness</t>
  </si>
  <si>
    <t>New Year Refresh</t>
  </si>
  <si>
    <t>Campaign Name</t>
  </si>
  <si>
    <t>Campign Wise Follower Growth</t>
  </si>
  <si>
    <t>Festive Radiance</t>
  </si>
  <si>
    <t>NewYear Refresh</t>
  </si>
  <si>
    <t>Net Added Follower</t>
  </si>
  <si>
    <t>Net Added Follower%</t>
  </si>
  <si>
    <t>Follower Growth</t>
  </si>
  <si>
    <t xml:space="preserve">Average of Total Engagement </t>
  </si>
  <si>
    <t>Count</t>
  </si>
  <si>
    <t>Hastags</t>
  </si>
  <si>
    <t>Sum of Count</t>
  </si>
  <si>
    <t>Hashtags</t>
  </si>
  <si>
    <t>Rank</t>
  </si>
  <si>
    <t>Sum of Folower Growth</t>
  </si>
  <si>
    <t>Total Engagement</t>
  </si>
  <si>
    <t>Ad Spend</t>
  </si>
  <si>
    <t>Total Impresions</t>
  </si>
  <si>
    <t>Total Likes</t>
  </si>
  <si>
    <t>Average Impresion</t>
  </si>
  <si>
    <t>Average Likes</t>
  </si>
  <si>
    <t>Total Clicks</t>
  </si>
  <si>
    <t>Average Clicks</t>
  </si>
  <si>
    <t>Column Labels</t>
  </si>
  <si>
    <t>Sum of Follower Growth</t>
  </si>
  <si>
    <t>(blank)</t>
  </si>
  <si>
    <t>Video Explanation Drive Link</t>
  </si>
  <si>
    <t>https://drive.google.com/file/d/1uEgTZugu5U6_o9mg2Bqp61beN8XTSkER/view?usp=drive_link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</si>
</sst>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[$-F800]dddd\,\ mmmm\ dd\,\ yyyy"/>
    <numFmt numFmtId="166" formatCode="_(&quot;$&quot;* #,##0_);_(&quot;$&quot;* \(#,##0\);_(&quot;$&quot;* &quot;-&quot;??_);_(@_)"/>
    <numFmt numFmtId="167" formatCode="dd/mm/yyyy"/>
    <numFmt numFmtId="168" formatCode="m/d/yy;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4" tint="0.59999389629810485"/>
        <bgColor theme="4" tint="0.59999389629810485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8">
    <xf numFmtId="0" fontId="0" fillId="0" borderId="0" xfId="0" applyFont="1" applyAlignment="1"/>
    <xf numFmtId="0" fontId="5" fillId="0" borderId="0" xfId="0" applyFont="1"/>
    <xf numFmtId="0" fontId="5" fillId="0" borderId="1" xfId="0" applyFont="1" applyBorder="1"/>
    <xf numFmtId="0" fontId="3" fillId="0" borderId="0" xfId="0" applyFont="1" applyAlignment="1">
      <alignment wrapText="1"/>
    </xf>
    <xf numFmtId="164" fontId="0" fillId="0" borderId="0" xfId="0" applyNumberFormat="1" applyFont="1" applyAlignment="1"/>
    <xf numFmtId="1" fontId="0" fillId="0" borderId="0" xfId="0" applyNumberFormat="1" applyFont="1" applyAlignment="1"/>
    <xf numFmtId="165" fontId="5" fillId="0" borderId="1" xfId="0" applyNumberFormat="1" applyFont="1" applyBorder="1" applyAlignment="1">
      <alignment wrapText="1"/>
    </xf>
    <xf numFmtId="165" fontId="5" fillId="0" borderId="1" xfId="0" applyNumberFormat="1" applyFont="1" applyBorder="1"/>
    <xf numFmtId="165" fontId="3" fillId="0" borderId="0" xfId="0" applyNumberFormat="1" applyFont="1" applyAlignment="1">
      <alignment wrapText="1"/>
    </xf>
    <xf numFmtId="165" fontId="0" fillId="0" borderId="0" xfId="0" applyNumberFormat="1" applyFont="1" applyAlignment="1"/>
    <xf numFmtId="166" fontId="5" fillId="0" borderId="1" xfId="1" applyNumberFormat="1" applyFont="1" applyBorder="1" applyAlignment="1">
      <alignment wrapText="1"/>
    </xf>
    <xf numFmtId="166" fontId="3" fillId="0" borderId="0" xfId="1" applyNumberFormat="1" applyFont="1" applyAlignment="1">
      <alignment wrapText="1"/>
    </xf>
    <xf numFmtId="166" fontId="0" fillId="0" borderId="0" xfId="1" applyNumberFormat="1" applyFont="1" applyAlignment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/>
    <xf numFmtId="1" fontId="3" fillId="0" borderId="2" xfId="0" applyNumberFormat="1" applyFont="1" applyBorder="1"/>
    <xf numFmtId="0" fontId="4" fillId="0" borderId="2" xfId="0" applyFont="1" applyBorder="1" applyAlignment="1"/>
    <xf numFmtId="0" fontId="0" fillId="0" borderId="2" xfId="0" applyFont="1" applyBorder="1" applyAlignment="1"/>
    <xf numFmtId="0" fontId="5" fillId="0" borderId="2" xfId="0" applyFont="1" applyBorder="1" applyAlignment="1"/>
    <xf numFmtId="0" fontId="5" fillId="0" borderId="2" xfId="0" applyFont="1" applyBorder="1"/>
    <xf numFmtId="165" fontId="2" fillId="0" borderId="2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 wrapText="1"/>
    </xf>
    <xf numFmtId="165" fontId="5" fillId="0" borderId="2" xfId="0" applyNumberFormat="1" applyFont="1" applyBorder="1"/>
    <xf numFmtId="1" fontId="5" fillId="0" borderId="2" xfId="0" applyNumberFormat="1" applyFont="1" applyBorder="1"/>
    <xf numFmtId="164" fontId="5" fillId="0" borderId="2" xfId="0" applyNumberFormat="1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" fontId="0" fillId="0" borderId="2" xfId="0" applyNumberFormat="1" applyFont="1" applyBorder="1" applyAlignment="1"/>
    <xf numFmtId="10" fontId="0" fillId="0" borderId="2" xfId="0" applyNumberFormat="1" applyFont="1" applyBorder="1" applyAlignment="1"/>
    <xf numFmtId="167" fontId="0" fillId="0" borderId="0" xfId="0" applyNumberFormat="1" applyFont="1" applyAlignment="1"/>
    <xf numFmtId="168" fontId="3" fillId="0" borderId="2" xfId="0" applyNumberFormat="1" applyFont="1" applyBorder="1"/>
    <xf numFmtId="1" fontId="5" fillId="0" borderId="1" xfId="1" applyNumberFormat="1" applyFont="1" applyBorder="1" applyAlignment="1">
      <alignment wrapText="1"/>
    </xf>
    <xf numFmtId="165" fontId="5" fillId="6" borderId="2" xfId="0" applyNumberFormat="1" applyFont="1" applyFill="1" applyBorder="1"/>
    <xf numFmtId="0" fontId="5" fillId="6" borderId="2" xfId="0" applyFont="1" applyFill="1" applyBorder="1"/>
    <xf numFmtId="1" fontId="5" fillId="6" borderId="2" xfId="0" applyNumberFormat="1" applyFont="1" applyFill="1" applyBorder="1"/>
    <xf numFmtId="164" fontId="5" fillId="6" borderId="2" xfId="0" applyNumberFormat="1" applyFont="1" applyFill="1" applyBorder="1"/>
    <xf numFmtId="1" fontId="0" fillId="6" borderId="2" xfId="0" applyNumberFormat="1" applyFont="1" applyFill="1" applyBorder="1" applyAlignment="1"/>
    <xf numFmtId="10" fontId="0" fillId="6" borderId="2" xfId="0" applyNumberFormat="1" applyFont="1" applyFill="1" applyBorder="1" applyAlignment="1"/>
    <xf numFmtId="0" fontId="5" fillId="2" borderId="2" xfId="0" applyFont="1" applyFill="1" applyBorder="1" applyAlignment="1"/>
    <xf numFmtId="0" fontId="6" fillId="3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9" fontId="0" fillId="0" borderId="2" xfId="2" applyFont="1" applyBorder="1" applyAlignment="1"/>
    <xf numFmtId="164" fontId="0" fillId="0" borderId="2" xfId="0" applyNumberFormat="1" applyFont="1" applyBorder="1" applyAlignment="1"/>
    <xf numFmtId="0" fontId="3" fillId="0" borderId="3" xfId="0" applyFont="1" applyBorder="1"/>
    <xf numFmtId="0" fontId="0" fillId="0" borderId="4" xfId="0" applyFont="1" applyBorder="1" applyAlignment="1"/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167" fontId="2" fillId="0" borderId="6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7" fillId="0" borderId="6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center" vertical="top"/>
    </xf>
    <xf numFmtId="0" fontId="3" fillId="0" borderId="8" xfId="0" applyFont="1" applyBorder="1"/>
    <xf numFmtId="0" fontId="3" fillId="0" borderId="9" xfId="0" applyFont="1" applyBorder="1"/>
    <xf numFmtId="168" fontId="3" fillId="0" borderId="9" xfId="0" applyNumberFormat="1" applyFont="1" applyBorder="1"/>
    <xf numFmtId="1" fontId="3" fillId="0" borderId="9" xfId="0" applyNumberFormat="1" applyFont="1" applyBorder="1"/>
    <xf numFmtId="0" fontId="4" fillId="0" borderId="9" xfId="0" applyFont="1" applyBorder="1" applyAlignment="1"/>
    <xf numFmtId="0" fontId="0" fillId="0" borderId="9" xfId="0" applyFont="1" applyBorder="1" applyAlignment="1"/>
    <xf numFmtId="0" fontId="5" fillId="0" borderId="9" xfId="0" applyFont="1" applyBorder="1"/>
    <xf numFmtId="0" fontId="0" fillId="0" borderId="10" xfId="0" applyFont="1" applyBorder="1" applyAlignment="1"/>
    <xf numFmtId="0" fontId="5" fillId="2" borderId="11" xfId="0" applyFont="1" applyFill="1" applyBorder="1" applyAlignment="1"/>
    <xf numFmtId="0" fontId="6" fillId="3" borderId="11" xfId="0" applyFont="1" applyFill="1" applyBorder="1"/>
    <xf numFmtId="0" fontId="6" fillId="4" borderId="11" xfId="0" applyFont="1" applyFill="1" applyBorder="1"/>
    <xf numFmtId="0" fontId="5" fillId="0" borderId="12" xfId="0" applyFont="1" applyBorder="1" applyAlignment="1">
      <alignment wrapText="1"/>
    </xf>
    <xf numFmtId="0" fontId="2" fillId="0" borderId="13" xfId="0" applyFont="1" applyBorder="1" applyAlignment="1">
      <alignment horizontal="center" vertical="top"/>
    </xf>
    <xf numFmtId="165" fontId="2" fillId="0" borderId="14" xfId="0" applyNumberFormat="1" applyFont="1" applyBorder="1" applyAlignment="1">
      <alignment horizontal="center" vertical="top" wrapText="1"/>
    </xf>
    <xf numFmtId="165" fontId="2" fillId="0" borderId="14" xfId="0" applyNumberFormat="1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166" fontId="2" fillId="0" borderId="14" xfId="1" applyNumberFormat="1" applyFont="1" applyBorder="1" applyAlignment="1">
      <alignment horizontal="center" vertical="top" wrapText="1"/>
    </xf>
    <xf numFmtId="166" fontId="7" fillId="0" borderId="14" xfId="1" applyNumberFormat="1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6" fillId="5" borderId="16" xfId="0" applyFont="1" applyFill="1" applyBorder="1"/>
    <xf numFmtId="165" fontId="5" fillId="0" borderId="17" xfId="0" applyNumberFormat="1" applyFont="1" applyBorder="1" applyAlignment="1">
      <alignment wrapText="1"/>
    </xf>
    <xf numFmtId="165" fontId="5" fillId="0" borderId="17" xfId="0" applyNumberFormat="1" applyFont="1" applyBorder="1"/>
    <xf numFmtId="0" fontId="5" fillId="0" borderId="17" xfId="0" applyFont="1" applyBorder="1"/>
    <xf numFmtId="166" fontId="5" fillId="0" borderId="17" xfId="1" applyNumberFormat="1" applyFont="1" applyBorder="1" applyAlignment="1">
      <alignment wrapText="1"/>
    </xf>
    <xf numFmtId="1" fontId="5" fillId="0" borderId="17" xfId="1" applyNumberFormat="1" applyFont="1" applyBorder="1" applyAlignment="1">
      <alignment wrapText="1"/>
    </xf>
    <xf numFmtId="0" fontId="5" fillId="0" borderId="18" xfId="0" applyFont="1" applyBorder="1" applyAlignment="1">
      <alignment wrapText="1"/>
    </xf>
    <xf numFmtId="44" fontId="2" fillId="0" borderId="2" xfId="1" applyFont="1" applyBorder="1" applyAlignment="1">
      <alignment horizontal="center" vertical="top" wrapText="1"/>
    </xf>
    <xf numFmtId="44" fontId="5" fillId="0" borderId="2" xfId="1" applyFont="1" applyBorder="1"/>
    <xf numFmtId="44" fontId="5" fillId="6" borderId="2" xfId="1" applyFont="1" applyFill="1" applyBorder="1"/>
    <xf numFmtId="44" fontId="0" fillId="0" borderId="2" xfId="1" applyFont="1" applyBorder="1" applyAlignment="1"/>
    <xf numFmtId="44" fontId="0" fillId="0" borderId="0" xfId="1" applyFont="1" applyAlignment="1"/>
    <xf numFmtId="49" fontId="2" fillId="0" borderId="6" xfId="0" applyNumberFormat="1" applyFont="1" applyBorder="1" applyAlignment="1">
      <alignment horizontal="center" vertical="top" wrapText="1"/>
    </xf>
    <xf numFmtId="49" fontId="3" fillId="0" borderId="2" xfId="0" applyNumberFormat="1" applyFont="1" applyBorder="1"/>
    <xf numFmtId="49" fontId="3" fillId="0" borderId="9" xfId="0" applyNumberFormat="1" applyFont="1" applyBorder="1"/>
    <xf numFmtId="49" fontId="0" fillId="0" borderId="0" xfId="0" applyNumberFormat="1" applyFont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0" xfId="0" applyFont="1" applyAlignment="1">
      <alignment horizontal="center"/>
    </xf>
    <xf numFmtId="0" fontId="0" fillId="0" borderId="2" xfId="0" pivotButton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9" fontId="8" fillId="9" borderId="3" xfId="0" applyNumberFormat="1" applyFont="1" applyFill="1" applyBorder="1" applyAlignment="1">
      <alignment horizontal="center"/>
    </xf>
    <xf numFmtId="49" fontId="8" fillId="7" borderId="3" xfId="0" applyNumberFormat="1" applyFont="1" applyFill="1" applyBorder="1" applyAlignment="1">
      <alignment horizontal="center"/>
    </xf>
    <xf numFmtId="1" fontId="8" fillId="9" borderId="4" xfId="0" applyNumberFormat="1" applyFont="1" applyFill="1" applyBorder="1" applyAlignment="1">
      <alignment horizontal="center"/>
    </xf>
    <xf numFmtId="1" fontId="8" fillId="7" borderId="4" xfId="0" applyNumberFormat="1" applyFont="1" applyFill="1" applyBorder="1" applyAlignment="1">
      <alignment horizontal="center"/>
    </xf>
    <xf numFmtId="49" fontId="8" fillId="7" borderId="8" xfId="0" applyNumberFormat="1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1" fontId="8" fillId="7" borderId="10" xfId="0" applyNumberFormat="1" applyFont="1" applyFill="1" applyBorder="1" applyAlignment="1">
      <alignment horizontal="center"/>
    </xf>
    <xf numFmtId="49" fontId="8" fillId="9" borderId="8" xfId="0" applyNumberFormat="1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1" fontId="8" fillId="9" borderId="10" xfId="0" applyNumberFormat="1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0" fillId="9" borderId="10" xfId="0" applyFont="1" applyFill="1" applyBorder="1" applyAlignment="1">
      <alignment horizontal="center"/>
    </xf>
    <xf numFmtId="49" fontId="8" fillId="8" borderId="5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1" fontId="8" fillId="8" borderId="7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/>
    <xf numFmtId="0" fontId="11" fillId="0" borderId="2" xfId="0" applyFont="1" applyBorder="1" applyAlignment="1"/>
    <xf numFmtId="0" fontId="1" fillId="0" borderId="2" xfId="0" applyFont="1" applyBorder="1" applyAlignment="1"/>
    <xf numFmtId="0" fontId="0" fillId="5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7"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(&quot;$&quot;* #,##0_);_(&quot;$&quot;* \(#,##0\);_(&quot;$&quot;* &quot;-&quot;??_);_(@_)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800]dddd\,\ mmmm\ dd\,\ 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F800]dddd\,\ mmmm\ dd\,\ 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m/d/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microsoft.com/office/2017/06/relationships/rdRichValue" Target="richData/rdrichvalue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Average</a:t>
            </a:r>
          </a:p>
          <a:p>
            <a:pPr>
              <a:defRPr>
                <a:solidFill>
                  <a:srgbClr val="FF0000"/>
                </a:solidFill>
              </a:defRPr>
            </a:pPr>
            <a:r>
              <a:rPr lang="en-IN" b="1">
                <a:solidFill>
                  <a:srgbClr val="FF0000"/>
                </a:solidFill>
              </a:rPr>
              <a:t> Engagement Platform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Average of Total Engagement 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Table'!$A$2:$A$6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3677.6144578313251</c:v>
                </c:pt>
                <c:pt idx="1">
                  <c:v>3336.4430379746836</c:v>
                </c:pt>
                <c:pt idx="2">
                  <c:v>3240.5696202531644</c:v>
                </c:pt>
                <c:pt idx="3">
                  <c:v>3609.1694915254238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2-4891-A711-85B3A463989E}"/>
            </c:ext>
          </c:extLst>
        </c:ser>
        <c:ser>
          <c:idx val="1"/>
          <c:order val="1"/>
          <c:tx>
            <c:strRef>
              <c:f>'Pivot Table'!$C$1</c:f>
              <c:strCache>
                <c:ptCount val="1"/>
                <c:pt idx="0">
                  <c:v>Sum of Shares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'Pivot Table'!$A$2:$A$6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Table'!$C$2:$C$6</c:f>
              <c:numCache>
                <c:formatCode>General</c:formatCode>
                <c:ptCount val="4"/>
                <c:pt idx="0">
                  <c:v>39181</c:v>
                </c:pt>
                <c:pt idx="1">
                  <c:v>41444</c:v>
                </c:pt>
                <c:pt idx="2">
                  <c:v>33728</c:v>
                </c:pt>
                <c:pt idx="3">
                  <c:v>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82-4891-A711-85B3A4639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819663"/>
        <c:axId val="203812943"/>
        <c:axId val="0"/>
      </c:bar3DChart>
      <c:catAx>
        <c:axId val="2038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2943"/>
        <c:crosses val="autoZero"/>
        <c:auto val="1"/>
        <c:lblAlgn val="ctr"/>
        <c:lblOffset val="100"/>
        <c:noMultiLvlLbl val="0"/>
      </c:catAx>
      <c:valAx>
        <c:axId val="20381294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1(AutoRecovered).xlsx]Engagement Analysis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Total</a:t>
            </a:r>
            <a:r>
              <a:rPr lang="en-US" baseline="0">
                <a:solidFill>
                  <a:srgbClr val="FF0000"/>
                </a:solidFill>
              </a:rPr>
              <a:t> Engagement Platform Wise</a:t>
            </a:r>
          </a:p>
        </c:rich>
      </c:tx>
      <c:layout>
        <c:manualLayout>
          <c:xMode val="edge"/>
          <c:yMode val="edge"/>
          <c:x val="0.2162372643037396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501781052252851E-2"/>
          <c:y val="0.2303452172645086"/>
          <c:w val="0.85185135622093544"/>
          <c:h val="0.5026359725867600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'Engagement Analysis 1'!$F$35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multiLvlStrRef>
              <c:f>'Engagement Analysis 1'!$E$36:$E$49</c:f>
              <c:multiLvlStrCache>
                <c:ptCount val="9"/>
                <c:lvl>
                  <c:pt idx="0">
                    <c:v>Image</c:v>
                  </c:pt>
                  <c:pt idx="1">
                    <c:v>Image</c:v>
                  </c:pt>
                  <c:pt idx="2">
                    <c:v>Story</c:v>
                  </c:pt>
                  <c:pt idx="3">
                    <c:v>Text</c:v>
                  </c:pt>
                  <c:pt idx="4">
                    <c:v>Video</c:v>
                  </c:pt>
                  <c:pt idx="5">
                    <c:v>Image</c:v>
                  </c:pt>
                  <c:pt idx="6">
                    <c:v>Story</c:v>
                  </c:pt>
                  <c:pt idx="7">
                    <c:v>Text</c:v>
                  </c:pt>
                  <c:pt idx="8">
                    <c:v>Video</c:v>
                  </c:pt>
                </c:lvl>
                <c:lvl>
                  <c:pt idx="0">
                    <c:v>Facebook</c:v>
                  </c:pt>
                  <c:pt idx="1">
                    <c:v>Instagram</c:v>
                  </c:pt>
                  <c:pt idx="3">
                    <c:v>Twitter</c:v>
                  </c:pt>
                  <c:pt idx="5">
                    <c:v>YouTube</c:v>
                  </c:pt>
                </c:lvl>
              </c:multiLvlStrCache>
            </c:multiLvlStrRef>
          </c:cat>
          <c:val>
            <c:numRef>
              <c:f>'Engagement Analysis 1'!$F$36:$F$49</c:f>
              <c:numCache>
                <c:formatCode>General</c:formatCode>
                <c:ptCount val="9"/>
                <c:pt idx="0">
                  <c:v>5973</c:v>
                </c:pt>
                <c:pt idx="1">
                  <c:v>11969</c:v>
                </c:pt>
                <c:pt idx="2">
                  <c:v>5900</c:v>
                </c:pt>
                <c:pt idx="3">
                  <c:v>5913</c:v>
                </c:pt>
                <c:pt idx="4">
                  <c:v>6278</c:v>
                </c:pt>
                <c:pt idx="5">
                  <c:v>5879</c:v>
                </c:pt>
                <c:pt idx="6">
                  <c:v>6130</c:v>
                </c:pt>
                <c:pt idx="7">
                  <c:v>6061</c:v>
                </c:pt>
                <c:pt idx="8">
                  <c:v>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7-46FC-AD93-4325630D9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674832"/>
        <c:axId val="162686352"/>
        <c:axId val="0"/>
      </c:bar3DChart>
      <c:catAx>
        <c:axId val="1626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6352"/>
        <c:crosses val="autoZero"/>
        <c:auto val="1"/>
        <c:lblAlgn val="ctr"/>
        <c:lblOffset val="100"/>
        <c:noMultiLvlLbl val="0"/>
      </c:catAx>
      <c:valAx>
        <c:axId val="16268635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rgbClr val="FF0000"/>
                </a:solidFill>
              </a:rPr>
              <a:t>Total</a:t>
            </a:r>
            <a:r>
              <a:rPr lang="en-IN" sz="1800" b="1" baseline="0">
                <a:solidFill>
                  <a:srgbClr val="FF0000"/>
                </a:solidFill>
              </a:rPr>
              <a:t> LIke,Share,ComentsEngagement</a:t>
            </a:r>
          </a:p>
        </c:rich>
      </c:tx>
      <c:layout>
        <c:manualLayout>
          <c:xMode val="edge"/>
          <c:yMode val="edge"/>
          <c:x val="0.13929353780379725"/>
          <c:y val="6.7425494647596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Sum of Total Engagement 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24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 Facebook</c:v>
              </c:pt>
              <c:pt idx="5">
                <c:v>Image Instagram</c:v>
              </c:pt>
              <c:pt idx="6">
                <c:v>Image Twitter</c:v>
              </c:pt>
              <c:pt idx="7">
                <c:v>Image YouTube</c:v>
              </c:pt>
              <c:pt idx="8">
                <c:v>Reel Facebook</c:v>
              </c:pt>
              <c:pt idx="9">
                <c:v>Reel Instagram</c:v>
              </c:pt>
              <c:pt idx="10">
                <c:v>Reel Twitter</c:v>
              </c:pt>
              <c:pt idx="11">
                <c:v>Reel YouTube</c:v>
              </c:pt>
              <c:pt idx="12">
                <c:v>Story Facebook</c:v>
              </c:pt>
              <c:pt idx="13">
                <c:v>Story Instagram</c:v>
              </c:pt>
              <c:pt idx="14">
                <c:v>Story Twitter</c:v>
              </c:pt>
              <c:pt idx="15">
                <c:v>Story YouTube</c:v>
              </c:pt>
              <c:pt idx="16">
                <c:v>Text Facebook</c:v>
              </c:pt>
              <c:pt idx="17">
                <c:v>Text Instagram</c:v>
              </c:pt>
              <c:pt idx="18">
                <c:v>Text Twitter</c:v>
              </c:pt>
              <c:pt idx="19">
                <c:v>Text YouTube</c:v>
              </c:pt>
              <c:pt idx="20">
                <c:v>Video Facebook</c:v>
              </c:pt>
              <c:pt idx="21">
                <c:v>Video Instagram</c:v>
              </c:pt>
              <c:pt idx="22">
                <c:v>Video Twitter</c:v>
              </c:pt>
              <c:pt idx="23">
                <c:v>Video YouTube</c:v>
              </c:pt>
            </c:strLit>
          </c:cat>
          <c:val>
            <c:numLit>
              <c:formatCode>General</c:formatCode>
              <c:ptCount val="24"/>
              <c:pt idx="0">
                <c:v>56465</c:v>
              </c:pt>
              <c:pt idx="1">
                <c:v>54813</c:v>
              </c:pt>
              <c:pt idx="2">
                <c:v>58047</c:v>
              </c:pt>
              <c:pt idx="3">
                <c:v>33653</c:v>
              </c:pt>
              <c:pt idx="4">
                <c:v>91001</c:v>
              </c:pt>
              <c:pt idx="5">
                <c:v>42143</c:v>
              </c:pt>
              <c:pt idx="6">
                <c:v>55996</c:v>
              </c:pt>
              <c:pt idx="7">
                <c:v>30290</c:v>
              </c:pt>
              <c:pt idx="8">
                <c:v>45685</c:v>
              </c:pt>
              <c:pt idx="9">
                <c:v>43644</c:v>
              </c:pt>
              <c:pt idx="10">
                <c:v>33492</c:v>
              </c:pt>
              <c:pt idx="11">
                <c:v>39645</c:v>
              </c:pt>
              <c:pt idx="12">
                <c:v>37578</c:v>
              </c:pt>
              <c:pt idx="13">
                <c:v>56544</c:v>
              </c:pt>
              <c:pt idx="14">
                <c:v>28582</c:v>
              </c:pt>
              <c:pt idx="15">
                <c:v>37846</c:v>
              </c:pt>
              <c:pt idx="16">
                <c:v>40132</c:v>
              </c:pt>
              <c:pt idx="17">
                <c:v>32625</c:v>
              </c:pt>
              <c:pt idx="18">
                <c:v>40670</c:v>
              </c:pt>
              <c:pt idx="19">
                <c:v>32047</c:v>
              </c:pt>
              <c:pt idx="20">
                <c:v>34381</c:v>
              </c:pt>
              <c:pt idx="21">
                <c:v>33810</c:v>
              </c:pt>
              <c:pt idx="22">
                <c:v>39218</c:v>
              </c:pt>
              <c:pt idx="23">
                <c:v>39460</c:v>
              </c:pt>
            </c:numLit>
          </c:val>
          <c:extLst>
            <c:ext xmlns:c16="http://schemas.microsoft.com/office/drawing/2014/chart" uri="{C3380CC4-5D6E-409C-BE32-E72D297353CC}">
              <c16:uniqueId val="{00000000-5AD2-48F9-81DA-5DA425CD1B43}"/>
            </c:ext>
          </c:extLst>
        </c:ser>
        <c:ser>
          <c:idx val="1"/>
          <c:order val="1"/>
          <c:tx>
            <c:v>Sum of Likes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24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 Facebook</c:v>
              </c:pt>
              <c:pt idx="5">
                <c:v>Image Instagram</c:v>
              </c:pt>
              <c:pt idx="6">
                <c:v>Image Twitter</c:v>
              </c:pt>
              <c:pt idx="7">
                <c:v>Image YouTube</c:v>
              </c:pt>
              <c:pt idx="8">
                <c:v>Reel Facebook</c:v>
              </c:pt>
              <c:pt idx="9">
                <c:v>Reel Instagram</c:v>
              </c:pt>
              <c:pt idx="10">
                <c:v>Reel Twitter</c:v>
              </c:pt>
              <c:pt idx="11">
                <c:v>Reel YouTube</c:v>
              </c:pt>
              <c:pt idx="12">
                <c:v>Story Facebook</c:v>
              </c:pt>
              <c:pt idx="13">
                <c:v>Story Instagram</c:v>
              </c:pt>
              <c:pt idx="14">
                <c:v>Story Twitter</c:v>
              </c:pt>
              <c:pt idx="15">
                <c:v>Story YouTube</c:v>
              </c:pt>
              <c:pt idx="16">
                <c:v>Text Facebook</c:v>
              </c:pt>
              <c:pt idx="17">
                <c:v>Text Instagram</c:v>
              </c:pt>
              <c:pt idx="18">
                <c:v>Text Twitter</c:v>
              </c:pt>
              <c:pt idx="19">
                <c:v>Text YouTube</c:v>
              </c:pt>
              <c:pt idx="20">
                <c:v>Video Facebook</c:v>
              </c:pt>
              <c:pt idx="21">
                <c:v>Video Instagram</c:v>
              </c:pt>
              <c:pt idx="22">
                <c:v>Video Twitter</c:v>
              </c:pt>
              <c:pt idx="23">
                <c:v>Video YouTube</c:v>
              </c:pt>
            </c:strLit>
          </c:cat>
          <c:val>
            <c:numLit>
              <c:formatCode>General</c:formatCode>
              <c:ptCount val="24"/>
              <c:pt idx="0">
                <c:v>44476</c:v>
              </c:pt>
              <c:pt idx="1">
                <c:v>43948</c:v>
              </c:pt>
              <c:pt idx="2">
                <c:v>48649</c:v>
              </c:pt>
              <c:pt idx="3">
                <c:v>24926</c:v>
              </c:pt>
              <c:pt idx="4">
                <c:v>71602</c:v>
              </c:pt>
              <c:pt idx="5">
                <c:v>34202</c:v>
              </c:pt>
              <c:pt idx="6">
                <c:v>43761</c:v>
              </c:pt>
              <c:pt idx="7">
                <c:v>23903</c:v>
              </c:pt>
              <c:pt idx="8">
                <c:v>36368</c:v>
              </c:pt>
              <c:pt idx="9">
                <c:v>32148</c:v>
              </c:pt>
              <c:pt idx="10">
                <c:v>27029</c:v>
              </c:pt>
              <c:pt idx="11">
                <c:v>32400</c:v>
              </c:pt>
              <c:pt idx="12">
                <c:v>29405</c:v>
              </c:pt>
              <c:pt idx="13">
                <c:v>42649</c:v>
              </c:pt>
              <c:pt idx="14">
                <c:v>20466</c:v>
              </c:pt>
              <c:pt idx="15">
                <c:v>31968</c:v>
              </c:pt>
              <c:pt idx="16">
                <c:v>31963</c:v>
              </c:pt>
              <c:pt idx="17">
                <c:v>25567</c:v>
              </c:pt>
              <c:pt idx="18">
                <c:v>31899</c:v>
              </c:pt>
              <c:pt idx="19">
                <c:v>27067</c:v>
              </c:pt>
              <c:pt idx="20">
                <c:v>28947</c:v>
              </c:pt>
              <c:pt idx="21">
                <c:v>25770</c:v>
              </c:pt>
              <c:pt idx="22">
                <c:v>29593</c:v>
              </c:pt>
              <c:pt idx="23">
                <c:v>31285</c:v>
              </c:pt>
            </c:numLit>
          </c:val>
          <c:extLst>
            <c:ext xmlns:c16="http://schemas.microsoft.com/office/drawing/2014/chart" uri="{C3380CC4-5D6E-409C-BE32-E72D297353CC}">
              <c16:uniqueId val="{00000001-5AD2-48F9-81DA-5DA425CD1B43}"/>
            </c:ext>
          </c:extLst>
        </c:ser>
        <c:ser>
          <c:idx val="2"/>
          <c:order val="2"/>
          <c:tx>
            <c:v>Sum of Shares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24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 Facebook</c:v>
              </c:pt>
              <c:pt idx="5">
                <c:v>Image Instagram</c:v>
              </c:pt>
              <c:pt idx="6">
                <c:v>Image Twitter</c:v>
              </c:pt>
              <c:pt idx="7">
                <c:v>Image YouTube</c:v>
              </c:pt>
              <c:pt idx="8">
                <c:v>Reel Facebook</c:v>
              </c:pt>
              <c:pt idx="9">
                <c:v>Reel Instagram</c:v>
              </c:pt>
              <c:pt idx="10">
                <c:v>Reel Twitter</c:v>
              </c:pt>
              <c:pt idx="11">
                <c:v>Reel YouTube</c:v>
              </c:pt>
              <c:pt idx="12">
                <c:v>Story Facebook</c:v>
              </c:pt>
              <c:pt idx="13">
                <c:v>Story Instagram</c:v>
              </c:pt>
              <c:pt idx="14">
                <c:v>Story Twitter</c:v>
              </c:pt>
              <c:pt idx="15">
                <c:v>Story YouTube</c:v>
              </c:pt>
              <c:pt idx="16">
                <c:v>Text Facebook</c:v>
              </c:pt>
              <c:pt idx="17">
                <c:v>Text Instagram</c:v>
              </c:pt>
              <c:pt idx="18">
                <c:v>Text Twitter</c:v>
              </c:pt>
              <c:pt idx="19">
                <c:v>Text YouTube</c:v>
              </c:pt>
              <c:pt idx="20">
                <c:v>Video Facebook</c:v>
              </c:pt>
              <c:pt idx="21">
                <c:v>Video Instagram</c:v>
              </c:pt>
              <c:pt idx="22">
                <c:v>Video Twitter</c:v>
              </c:pt>
              <c:pt idx="23">
                <c:v>Video YouTube</c:v>
              </c:pt>
            </c:strLit>
          </c:cat>
          <c:val>
            <c:numLit>
              <c:formatCode>General</c:formatCode>
              <c:ptCount val="24"/>
              <c:pt idx="0">
                <c:v>7400</c:v>
              </c:pt>
              <c:pt idx="1">
                <c:v>6975</c:v>
              </c:pt>
              <c:pt idx="2">
                <c:v>5791</c:v>
              </c:pt>
              <c:pt idx="3">
                <c:v>6305</c:v>
              </c:pt>
              <c:pt idx="4">
                <c:v>12904</c:v>
              </c:pt>
              <c:pt idx="5">
                <c:v>5286</c:v>
              </c:pt>
              <c:pt idx="6">
                <c:v>7110</c:v>
              </c:pt>
              <c:pt idx="7">
                <c:v>4310</c:v>
              </c:pt>
              <c:pt idx="8">
                <c:v>5964</c:v>
              </c:pt>
              <c:pt idx="9">
                <c:v>8110</c:v>
              </c:pt>
              <c:pt idx="10">
                <c:v>4550</c:v>
              </c:pt>
              <c:pt idx="11">
                <c:v>4577</c:v>
              </c:pt>
              <c:pt idx="12">
                <c:v>4950</c:v>
              </c:pt>
              <c:pt idx="13">
                <c:v>10049</c:v>
              </c:pt>
              <c:pt idx="14">
                <c:v>5090</c:v>
              </c:pt>
              <c:pt idx="15">
                <c:v>3866</c:v>
              </c:pt>
              <c:pt idx="16">
                <c:v>4792</c:v>
              </c:pt>
              <c:pt idx="17">
                <c:v>5112</c:v>
              </c:pt>
              <c:pt idx="18">
                <c:v>4861</c:v>
              </c:pt>
              <c:pt idx="19">
                <c:v>3928</c:v>
              </c:pt>
              <c:pt idx="20">
                <c:v>3171</c:v>
              </c:pt>
              <c:pt idx="21">
                <c:v>5912</c:v>
              </c:pt>
              <c:pt idx="22">
                <c:v>6326</c:v>
              </c:pt>
              <c:pt idx="23">
                <c:v>5586</c:v>
              </c:pt>
            </c:numLit>
          </c:val>
          <c:extLst>
            <c:ext xmlns:c16="http://schemas.microsoft.com/office/drawing/2014/chart" uri="{C3380CC4-5D6E-409C-BE32-E72D297353CC}">
              <c16:uniqueId val="{00000002-5AD2-48F9-81DA-5DA425CD1B43}"/>
            </c:ext>
          </c:extLst>
        </c:ser>
        <c:ser>
          <c:idx val="3"/>
          <c:order val="3"/>
          <c:tx>
            <c:v>Sum of Comments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24"/>
              <c:pt idx="0">
                <c:v>Carousel Facebook</c:v>
              </c:pt>
              <c:pt idx="1">
                <c:v>Carousel Instagram</c:v>
              </c:pt>
              <c:pt idx="2">
                <c:v>Carousel Twitter</c:v>
              </c:pt>
              <c:pt idx="3">
                <c:v>Carousel YouTube</c:v>
              </c:pt>
              <c:pt idx="4">
                <c:v>Image Facebook</c:v>
              </c:pt>
              <c:pt idx="5">
                <c:v>Image Instagram</c:v>
              </c:pt>
              <c:pt idx="6">
                <c:v>Image Twitter</c:v>
              </c:pt>
              <c:pt idx="7">
                <c:v>Image YouTube</c:v>
              </c:pt>
              <c:pt idx="8">
                <c:v>Reel Facebook</c:v>
              </c:pt>
              <c:pt idx="9">
                <c:v>Reel Instagram</c:v>
              </c:pt>
              <c:pt idx="10">
                <c:v>Reel Twitter</c:v>
              </c:pt>
              <c:pt idx="11">
                <c:v>Reel YouTube</c:v>
              </c:pt>
              <c:pt idx="12">
                <c:v>Story Facebook</c:v>
              </c:pt>
              <c:pt idx="13">
                <c:v>Story Instagram</c:v>
              </c:pt>
              <c:pt idx="14">
                <c:v>Story Twitter</c:v>
              </c:pt>
              <c:pt idx="15">
                <c:v>Story YouTube</c:v>
              </c:pt>
              <c:pt idx="16">
                <c:v>Text Facebook</c:v>
              </c:pt>
              <c:pt idx="17">
                <c:v>Text Instagram</c:v>
              </c:pt>
              <c:pt idx="18">
                <c:v>Text Twitter</c:v>
              </c:pt>
              <c:pt idx="19">
                <c:v>Text YouTube</c:v>
              </c:pt>
              <c:pt idx="20">
                <c:v>Video Facebook</c:v>
              </c:pt>
              <c:pt idx="21">
                <c:v>Video Instagram</c:v>
              </c:pt>
              <c:pt idx="22">
                <c:v>Video Twitter</c:v>
              </c:pt>
              <c:pt idx="23">
                <c:v>Video YouTube</c:v>
              </c:pt>
            </c:strLit>
          </c:cat>
          <c:val>
            <c:numLit>
              <c:formatCode>General</c:formatCode>
              <c:ptCount val="24"/>
              <c:pt idx="0">
                <c:v>4589</c:v>
              </c:pt>
              <c:pt idx="1">
                <c:v>3890</c:v>
              </c:pt>
              <c:pt idx="2">
                <c:v>3607</c:v>
              </c:pt>
              <c:pt idx="3">
                <c:v>2422</c:v>
              </c:pt>
              <c:pt idx="4">
                <c:v>6495</c:v>
              </c:pt>
              <c:pt idx="5">
                <c:v>2655</c:v>
              </c:pt>
              <c:pt idx="6">
                <c:v>5125</c:v>
              </c:pt>
              <c:pt idx="7">
                <c:v>2077</c:v>
              </c:pt>
              <c:pt idx="8">
                <c:v>3353</c:v>
              </c:pt>
              <c:pt idx="9">
                <c:v>3386</c:v>
              </c:pt>
              <c:pt idx="10">
                <c:v>1913</c:v>
              </c:pt>
              <c:pt idx="11">
                <c:v>2668</c:v>
              </c:pt>
              <c:pt idx="12">
                <c:v>3223</c:v>
              </c:pt>
              <c:pt idx="13">
                <c:v>3846</c:v>
              </c:pt>
              <c:pt idx="14">
                <c:v>3026</c:v>
              </c:pt>
              <c:pt idx="15">
                <c:v>2012</c:v>
              </c:pt>
              <c:pt idx="16">
                <c:v>3377</c:v>
              </c:pt>
              <c:pt idx="17">
                <c:v>1946</c:v>
              </c:pt>
              <c:pt idx="18">
                <c:v>3910</c:v>
              </c:pt>
              <c:pt idx="19">
                <c:v>1052</c:v>
              </c:pt>
              <c:pt idx="20">
                <c:v>2263</c:v>
              </c:pt>
              <c:pt idx="21">
                <c:v>2128</c:v>
              </c:pt>
              <c:pt idx="22">
                <c:v>3299</c:v>
              </c:pt>
              <c:pt idx="23">
                <c:v>2589</c:v>
              </c:pt>
            </c:numLit>
          </c:val>
          <c:extLst>
            <c:ext xmlns:c16="http://schemas.microsoft.com/office/drawing/2014/chart" uri="{C3380CC4-5D6E-409C-BE32-E72D297353CC}">
              <c16:uniqueId val="{00000003-5AD2-48F9-81DA-5DA425CD1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819663"/>
        <c:axId val="203812943"/>
        <c:axId val="0"/>
      </c:bar3DChart>
      <c:catAx>
        <c:axId val="203819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2943"/>
        <c:crosses val="autoZero"/>
        <c:auto val="1"/>
        <c:lblAlgn val="ctr"/>
        <c:lblOffset val="100"/>
        <c:noMultiLvlLbl val="0"/>
      </c:catAx>
      <c:valAx>
        <c:axId val="203812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1(AutoRecovered).xlsx]Engagement Analysis 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 Performing #tags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235870516185476"/>
          <c:y val="0.27664151356080491"/>
          <c:w val="0.74845603674540684"/>
          <c:h val="0.2322142023913677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'Engagement Analysis 1'!$I$43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'Engagement Analysis 1'!$H$44:$H$50</c:f>
              <c:strCache>
                <c:ptCount val="6"/>
                <c:pt idx="0">
                  <c:v>#AnytimeIsPepsiTime</c:v>
                </c:pt>
                <c:pt idx="1">
                  <c:v>#BetterWithPepsi</c:v>
                </c:pt>
                <c:pt idx="2">
                  <c:v>#LiveForNow</c:v>
                </c:pt>
                <c:pt idx="3">
                  <c:v>#PepsiCoRefresh</c:v>
                </c:pt>
                <c:pt idx="4">
                  <c:v>#SmoothLikeNitroPepsi</c:v>
                </c:pt>
                <c:pt idx="5">
                  <c:v>#ThirstyForMore</c:v>
                </c:pt>
              </c:strCache>
            </c:strRef>
          </c:cat>
          <c:val>
            <c:numRef>
              <c:f>'Engagement Analysis 1'!$I$44:$I$50</c:f>
              <c:numCache>
                <c:formatCode>0</c:formatCode>
                <c:ptCount val="6"/>
                <c:pt idx="0">
                  <c:v>5690.0046706504563</c:v>
                </c:pt>
                <c:pt idx="1">
                  <c:v>5440.0072021361048</c:v>
                </c:pt>
                <c:pt idx="2">
                  <c:v>5905.0039521686258</c:v>
                </c:pt>
                <c:pt idx="3">
                  <c:v>11465.027880654488</c:v>
                </c:pt>
                <c:pt idx="4">
                  <c:v>5547.0071232556784</c:v>
                </c:pt>
                <c:pt idx="5">
                  <c:v>11475.00695141797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5-476C-9E56-70F9CC25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8445280"/>
        <c:axId val="418467840"/>
        <c:axId val="0"/>
      </c:bar3DChart>
      <c:catAx>
        <c:axId val="41844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67840"/>
        <c:crosses val="autoZero"/>
        <c:auto val="1"/>
        <c:lblAlgn val="ctr"/>
        <c:lblOffset val="100"/>
        <c:noMultiLvlLbl val="0"/>
      </c:catAx>
      <c:valAx>
        <c:axId val="41846784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0000"/>
                </a:solidFill>
              </a:rPr>
              <a:t>Top 10 Post  Total Engagement Wise</a:t>
            </a:r>
          </a:p>
        </c:rich>
      </c:tx>
      <c:layout>
        <c:manualLayout>
          <c:xMode val="edge"/>
          <c:yMode val="edge"/>
          <c:x val="0.27851955816701163"/>
          <c:y val="8.48056537102473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'Engagement Analysis 1'!$C$43</c:f>
              <c:strCache>
                <c:ptCount val="1"/>
                <c:pt idx="0">
                  <c:v>Total Engagement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multiLvlStrRef>
              <c:f>'Engagement Analysis 1'!$A$44:$B$53</c:f>
              <c:multiLvlStrCache>
                <c:ptCount val="10"/>
                <c:lvl>
                  <c:pt idx="0">
                    <c:v>Video</c:v>
                  </c:pt>
                  <c:pt idx="1">
                    <c:v>Story</c:v>
                  </c:pt>
                  <c:pt idx="2">
                    <c:v>Text</c:v>
                  </c:pt>
                  <c:pt idx="3">
                    <c:v>Image</c:v>
                  </c:pt>
                  <c:pt idx="4">
                    <c:v>Video</c:v>
                  </c:pt>
                  <c:pt idx="5">
                    <c:v>Image</c:v>
                  </c:pt>
                  <c:pt idx="6">
                    <c:v>Image</c:v>
                  </c:pt>
                  <c:pt idx="7">
                    <c:v>Text</c:v>
                  </c:pt>
                  <c:pt idx="8">
                    <c:v>Story</c:v>
                  </c:pt>
                  <c:pt idx="9">
                    <c:v>Image</c:v>
                  </c:pt>
                </c:lvl>
                <c:lvl>
                  <c:pt idx="0">
                    <c:v>Twitter</c:v>
                  </c:pt>
                  <c:pt idx="1">
                    <c:v>YouTube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YouTube</c:v>
                  </c:pt>
                  <c:pt idx="5">
                    <c:v>Facebook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Instagram</c:v>
                  </c:pt>
                  <c:pt idx="9">
                    <c:v>YouTube</c:v>
                  </c:pt>
                </c:lvl>
              </c:multiLvlStrCache>
            </c:multiLvlStrRef>
          </c:cat>
          <c:val>
            <c:numRef>
              <c:f>'Engagement Analysis 1'!$C$44:$C$53</c:f>
              <c:numCache>
                <c:formatCode>0</c:formatCode>
                <c:ptCount val="10"/>
                <c:pt idx="0">
                  <c:v>6278</c:v>
                </c:pt>
                <c:pt idx="1">
                  <c:v>6130</c:v>
                </c:pt>
                <c:pt idx="2">
                  <c:v>6061</c:v>
                </c:pt>
                <c:pt idx="3">
                  <c:v>6030</c:v>
                </c:pt>
                <c:pt idx="4">
                  <c:v>6029</c:v>
                </c:pt>
                <c:pt idx="5">
                  <c:v>5973</c:v>
                </c:pt>
                <c:pt idx="6">
                  <c:v>5939</c:v>
                </c:pt>
                <c:pt idx="7">
                  <c:v>5913</c:v>
                </c:pt>
                <c:pt idx="8">
                  <c:v>5900</c:v>
                </c:pt>
                <c:pt idx="9">
                  <c:v>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F-41E4-86D4-205ADE937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8446240"/>
        <c:axId val="418449120"/>
        <c:axId val="393248560"/>
      </c:bar3DChart>
      <c:catAx>
        <c:axId val="41844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9120"/>
        <c:crosses val="autoZero"/>
        <c:auto val="1"/>
        <c:lblAlgn val="ctr"/>
        <c:lblOffset val="100"/>
        <c:noMultiLvlLbl val="0"/>
      </c:catAx>
      <c:valAx>
        <c:axId val="4184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6240"/>
        <c:crosses val="autoZero"/>
        <c:crossBetween val="between"/>
      </c:valAx>
      <c:serAx>
        <c:axId val="39324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4912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Sum of total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Table'!$B$26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Table'!$A$27:$A$31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Table'!$B$27:$B$31</c:f>
              <c:numCache>
                <c:formatCode>General</c:formatCode>
                <c:ptCount val="4"/>
                <c:pt idx="0">
                  <c:v>305242</c:v>
                </c:pt>
                <c:pt idx="1">
                  <c:v>263579</c:v>
                </c:pt>
                <c:pt idx="2">
                  <c:v>256005</c:v>
                </c:pt>
                <c:pt idx="3">
                  <c:v>212941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8-4A3C-9A2B-7F5C1D2B7B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13440671"/>
        <c:axId val="313433951"/>
        <c:axId val="0"/>
      </c:bar3DChart>
      <c:catAx>
        <c:axId val="3134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33951"/>
        <c:crosses val="autoZero"/>
        <c:auto val="1"/>
        <c:lblAlgn val="ctr"/>
        <c:lblOffset val="100"/>
        <c:noMultiLvlLbl val="0"/>
      </c:catAx>
      <c:valAx>
        <c:axId val="31343395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1(AutoRecovered).xlsx]SocialMedia Platform Analysis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Follower</a:t>
            </a:r>
            <a:r>
              <a:rPr lang="en-US" baseline="0">
                <a:solidFill>
                  <a:srgbClr val="FF0000"/>
                </a:solidFill>
              </a:rPr>
              <a:t>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'SocialMedia Platform Analysis 2'!$X$1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'SocialMedia Platform Analysis 2'!$W$2:$W$6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'SocialMedia Platform Analysis 2'!$X$2:$X$6</c:f>
              <c:numCache>
                <c:formatCode>0</c:formatCode>
                <c:ptCount val="4"/>
                <c:pt idx="0">
                  <c:v>27.324953416486316</c:v>
                </c:pt>
                <c:pt idx="1">
                  <c:v>28.812660632475907</c:v>
                </c:pt>
                <c:pt idx="2">
                  <c:v>46.40012838310669</c:v>
                </c:pt>
                <c:pt idx="3">
                  <c:v>45.105333156680032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8-487E-9CD1-051B21890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229327"/>
        <c:axId val="91256687"/>
        <c:axId val="0"/>
      </c:bar3DChart>
      <c:catAx>
        <c:axId val="9122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56687"/>
        <c:crosses val="autoZero"/>
        <c:auto val="1"/>
        <c:lblAlgn val="ctr"/>
        <c:lblOffset val="100"/>
        <c:noMultiLvlLbl val="0"/>
      </c:catAx>
      <c:valAx>
        <c:axId val="9125668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2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AD SPEND VS.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'SocialMedia Platform Analysis 2'!$X$16</c:f>
              <c:strCache>
                <c:ptCount val="1"/>
                <c:pt idx="0">
                  <c:v>Total Engagement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'SocialMedia Platform Analysis 2'!$W$17:$W$20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'SocialMedia Platform Analysis 2'!$X$17:$X$20</c:f>
              <c:numCache>
                <c:formatCode>General</c:formatCode>
                <c:ptCount val="4"/>
                <c:pt idx="0">
                  <c:v>256005</c:v>
                </c:pt>
                <c:pt idx="1">
                  <c:v>212941</c:v>
                </c:pt>
                <c:pt idx="2">
                  <c:v>263579</c:v>
                </c:pt>
                <c:pt idx="3">
                  <c:v>305242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9-48E2-BE55-AEE2CEA76F9C}"/>
            </c:ext>
          </c:extLst>
        </c:ser>
        <c:ser>
          <c:idx val="1"/>
          <c:order val="1"/>
          <c:tx>
            <c:strRef>
              <c:f>'SocialMedia Platform Analysis 2'!$Y$16</c:f>
              <c:strCache>
                <c:ptCount val="1"/>
                <c:pt idx="0">
                  <c:v>Ad Spend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'SocialMedia Platform Analysis 2'!$W$17:$W$20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'SocialMedia Platform Analysis 2'!$Y$17:$Y$20</c:f>
              <c:numCache>
                <c:formatCode>General</c:formatCode>
                <c:ptCount val="4"/>
                <c:pt idx="0">
                  <c:v>1060357</c:v>
                </c:pt>
                <c:pt idx="1">
                  <c:v>1228647</c:v>
                </c:pt>
                <c:pt idx="2">
                  <c:v>1164373</c:v>
                </c:pt>
                <c:pt idx="3">
                  <c:v>1379539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9-48E2-BE55-AEE2CEA76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893413647"/>
        <c:axId val="893400687"/>
        <c:axId val="0"/>
      </c:bar3DChart>
      <c:catAx>
        <c:axId val="89341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00687"/>
        <c:crosses val="autoZero"/>
        <c:auto val="1"/>
        <c:lblAlgn val="ctr"/>
        <c:lblOffset val="100"/>
        <c:noMultiLvlLbl val="0"/>
      </c:catAx>
      <c:valAx>
        <c:axId val="89340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41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Most frequently</a:t>
            </a:r>
            <a:r>
              <a:rPr lang="en-US" baseline="0">
                <a:solidFill>
                  <a:srgbClr val="FF0000"/>
                </a:solidFill>
              </a:rPr>
              <a:t> used hashtags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Series1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numLit>
              <c:formatCode>General</c:formatCode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numLit>
          </c:cat>
          <c:val>
            <c:numLit>
              <c:formatCode>General</c:formatCode>
              <c:ptCount val="6"/>
              <c:pt idx="0">
                <c:v>15</c:v>
              </c:pt>
              <c:pt idx="1">
                <c:v>7</c:v>
              </c:pt>
              <c:pt idx="2">
                <c:v>103</c:v>
              </c:pt>
              <c:pt idx="3">
                <c:v>214</c:v>
              </c:pt>
              <c:pt idx="4">
                <c:v>5</c:v>
              </c:pt>
              <c:pt idx="5">
                <c:v>204</c:v>
              </c:pt>
            </c:numLit>
          </c:val>
          <c:extLst>
            <c:ext xmlns:c16="http://schemas.microsoft.com/office/drawing/2014/chart" uri="{C3380CC4-5D6E-409C-BE32-E72D297353CC}">
              <c16:uniqueId val="{00000000-E612-4C12-8033-51B28B4CD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3421471"/>
        <c:axId val="313446431"/>
        <c:axId val="0"/>
      </c:bar3DChart>
      <c:catAx>
        <c:axId val="31342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46431"/>
        <c:crosses val="autoZero"/>
        <c:auto val="1"/>
        <c:lblAlgn val="ctr"/>
        <c:lblOffset val="100"/>
        <c:noMultiLvlLbl val="0"/>
      </c:catAx>
      <c:valAx>
        <c:axId val="31344643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2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1(AutoRecovered).xlsx]HasTags &amp; Content Strategy 3!PivotTable12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performance of each hashtags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'HasTags &amp; Content Strategy 3'!$X$1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'HasTags &amp; Content Strategy 3'!$W$2:$W$8</c:f>
              <c:strCache>
                <c:ptCount val="6"/>
                <c:pt idx="0">
                  <c:v>#AnytimeIsPepsiTime</c:v>
                </c:pt>
                <c:pt idx="1">
                  <c:v>#BetterWithPepsi</c:v>
                </c:pt>
                <c:pt idx="2">
                  <c:v>#LiveForNow</c:v>
                </c:pt>
                <c:pt idx="3">
                  <c:v>#PepsiCoRefresh</c:v>
                </c:pt>
                <c:pt idx="4">
                  <c:v>#SmoothLikeNitroPepsi</c:v>
                </c:pt>
                <c:pt idx="5">
                  <c:v>#ThirstyForMore</c:v>
                </c:pt>
              </c:strCache>
            </c:strRef>
          </c:cat>
          <c:val>
            <c:numRef>
              <c:f>'HasTags &amp; Content Strategy 3'!$X$2:$X$8</c:f>
              <c:numCache>
                <c:formatCode>0</c:formatCode>
                <c:ptCount val="6"/>
                <c:pt idx="0">
                  <c:v>5690.0046706504563</c:v>
                </c:pt>
                <c:pt idx="1">
                  <c:v>5440.0072021361048</c:v>
                </c:pt>
                <c:pt idx="2">
                  <c:v>5905.0039521686258</c:v>
                </c:pt>
                <c:pt idx="3">
                  <c:v>11465.027880654488</c:v>
                </c:pt>
                <c:pt idx="4">
                  <c:v>5547.0071232556784</c:v>
                </c:pt>
                <c:pt idx="5">
                  <c:v>11475.00695141797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0-43F2-AE3D-C227675A9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3423391"/>
        <c:axId val="19539135"/>
        <c:axId val="0"/>
      </c:bar3DChart>
      <c:catAx>
        <c:axId val="31342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135"/>
        <c:crosses val="autoZero"/>
        <c:auto val="1"/>
        <c:lblAlgn val="ctr"/>
        <c:lblOffset val="100"/>
        <c:noMultiLvlLbl val="0"/>
      </c:catAx>
      <c:valAx>
        <c:axId val="19539135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2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1(AutoRecovered).xlsx]HasTags &amp; Content Strategy 3!PivotTable13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CONTENT</a:t>
            </a:r>
            <a:r>
              <a:rPr lang="en-IN" baseline="0">
                <a:solidFill>
                  <a:srgbClr val="FF0000"/>
                </a:solidFill>
              </a:rPr>
              <a:t> WISE PERFORMANCE ACROSS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'HasTags &amp; Content Strategy 3'!$X$10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'HasTags &amp; Content Strategy 3'!$W$11:$W$41</c:f>
              <c:multiLvlStrCache>
                <c:ptCount val="24"/>
                <c:lvl>
                  <c:pt idx="0">
                    <c:v>Facebook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YouTube</c:v>
                  </c:pt>
                  <c:pt idx="4">
                    <c:v>Facebook</c:v>
                  </c:pt>
                  <c:pt idx="5">
                    <c:v>Instagram</c:v>
                  </c:pt>
                  <c:pt idx="6">
                    <c:v>Twitter</c:v>
                  </c:pt>
                  <c:pt idx="7">
                    <c:v>YouTube</c:v>
                  </c:pt>
                  <c:pt idx="8">
                    <c:v>Facebook</c:v>
                  </c:pt>
                  <c:pt idx="9">
                    <c:v>Instagram</c:v>
                  </c:pt>
                  <c:pt idx="10">
                    <c:v>Twitter</c:v>
                  </c:pt>
                  <c:pt idx="11">
                    <c:v>YouTube</c:v>
                  </c:pt>
                  <c:pt idx="12">
                    <c:v>Facebook</c:v>
                  </c:pt>
                  <c:pt idx="13">
                    <c:v>Instagram</c:v>
                  </c:pt>
                  <c:pt idx="14">
                    <c:v>Twitter</c:v>
                  </c:pt>
                  <c:pt idx="15">
                    <c:v>YouTube</c:v>
                  </c:pt>
                  <c:pt idx="16">
                    <c:v>Facebook</c:v>
                  </c:pt>
                  <c:pt idx="17">
                    <c:v>Instagram</c:v>
                  </c:pt>
                  <c:pt idx="18">
                    <c:v>Twitter</c:v>
                  </c:pt>
                  <c:pt idx="19">
                    <c:v>YouTube</c:v>
                  </c:pt>
                  <c:pt idx="20">
                    <c:v>Facebook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</c:lvl>
                <c:lvl>
                  <c:pt idx="0">
                    <c:v>Carousel</c:v>
                  </c:pt>
                  <c:pt idx="4">
                    <c:v>Image</c:v>
                  </c:pt>
                  <c:pt idx="8">
                    <c:v>Reel</c:v>
                  </c:pt>
                  <c:pt idx="12">
                    <c:v>Story</c:v>
                  </c:pt>
                  <c:pt idx="16">
                    <c:v>Text</c:v>
                  </c:pt>
                  <c:pt idx="20">
                    <c:v>Video</c:v>
                  </c:pt>
                </c:lvl>
              </c:multiLvlStrCache>
            </c:multiLvlStrRef>
          </c:cat>
          <c:val>
            <c:numRef>
              <c:f>'HasTags &amp; Content Strategy 3'!$X$11:$X$41</c:f>
              <c:numCache>
                <c:formatCode>General</c:formatCode>
                <c:ptCount val="24"/>
                <c:pt idx="0">
                  <c:v>558118</c:v>
                </c:pt>
                <c:pt idx="1">
                  <c:v>526691</c:v>
                </c:pt>
                <c:pt idx="2">
                  <c:v>609023</c:v>
                </c:pt>
                <c:pt idx="3">
                  <c:v>390987</c:v>
                </c:pt>
                <c:pt idx="4">
                  <c:v>975067</c:v>
                </c:pt>
                <c:pt idx="5">
                  <c:v>388193</c:v>
                </c:pt>
                <c:pt idx="6">
                  <c:v>490353</c:v>
                </c:pt>
                <c:pt idx="7">
                  <c:v>370491</c:v>
                </c:pt>
                <c:pt idx="8">
                  <c:v>482519</c:v>
                </c:pt>
                <c:pt idx="9">
                  <c:v>332418</c:v>
                </c:pt>
                <c:pt idx="10">
                  <c:v>409892</c:v>
                </c:pt>
                <c:pt idx="11">
                  <c:v>405765</c:v>
                </c:pt>
                <c:pt idx="12">
                  <c:v>311948</c:v>
                </c:pt>
                <c:pt idx="13">
                  <c:v>502549</c:v>
                </c:pt>
                <c:pt idx="14">
                  <c:v>223482</c:v>
                </c:pt>
                <c:pt idx="15">
                  <c:v>417440</c:v>
                </c:pt>
                <c:pt idx="16">
                  <c:v>444692</c:v>
                </c:pt>
                <c:pt idx="17">
                  <c:v>304293</c:v>
                </c:pt>
                <c:pt idx="18">
                  <c:v>404042</c:v>
                </c:pt>
                <c:pt idx="19">
                  <c:v>303794</c:v>
                </c:pt>
                <c:pt idx="20">
                  <c:v>418935</c:v>
                </c:pt>
                <c:pt idx="21">
                  <c:v>230335</c:v>
                </c:pt>
                <c:pt idx="22">
                  <c:v>382015</c:v>
                </c:pt>
                <c:pt idx="23">
                  <c:v>348581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C-4A66-8E9A-298E0334A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426271"/>
        <c:axId val="313425311"/>
      </c:lineChart>
      <c:catAx>
        <c:axId val="3134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25311"/>
        <c:crosses val="autoZero"/>
        <c:auto val="1"/>
        <c:lblAlgn val="ctr"/>
        <c:lblOffset val="100"/>
        <c:noMultiLvlLbl val="0"/>
      </c:catAx>
      <c:valAx>
        <c:axId val="3134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cap="all" spc="150" baseline="0">
                <a:solidFill>
                  <a:srgbClr val="FF0000"/>
                </a:solidFill>
              </a:rPr>
              <a:t>Total Impresions Campaign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Table'!$A$35:$A$39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'Pivot Table'!$B$35:$B$39</c:f>
              <c:numCache>
                <c:formatCode>General</c:formatCode>
                <c:ptCount val="4"/>
                <c:pt idx="0">
                  <c:v>240483</c:v>
                </c:pt>
                <c:pt idx="1">
                  <c:v>201739</c:v>
                </c:pt>
                <c:pt idx="2">
                  <c:v>232821</c:v>
                </c:pt>
                <c:pt idx="3">
                  <c:v>173901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41F7-9171-A8842762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316624"/>
        <c:axId val="52314704"/>
        <c:axId val="0"/>
      </c:bar3DChart>
      <c:catAx>
        <c:axId val="5231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4704"/>
        <c:crosses val="autoZero"/>
        <c:auto val="1"/>
        <c:lblAlgn val="ctr"/>
        <c:lblOffset val="100"/>
        <c:noMultiLvlLbl val="0"/>
      </c:catAx>
      <c:valAx>
        <c:axId val="5231470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1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Total Likes Campaign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Efectiveness 4'!$AE$8</c:f>
              <c:strCache>
                <c:ptCount val="1"/>
                <c:pt idx="0">
                  <c:v>Total Likes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'Campaign Efectiveness 4'!$AD$9:$AD$12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NewYearRefresh</c:v>
                </c:pt>
                <c:pt idx="3">
                  <c:v>FestiveRadiance</c:v>
                </c:pt>
              </c:strCache>
            </c:strRef>
          </c:cat>
          <c:val>
            <c:numRef>
              <c:f>'Campaign Efectiveness 4'!$AE$9:$AE$12</c:f>
              <c:numCache>
                <c:formatCode>General</c:formatCode>
                <c:ptCount val="4"/>
                <c:pt idx="0">
                  <c:v>136302</c:v>
                </c:pt>
                <c:pt idx="1">
                  <c:v>187249</c:v>
                </c:pt>
                <c:pt idx="2">
                  <c:v>184943</c:v>
                </c:pt>
                <c:pt idx="3">
                  <c:v>155500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5-4B73-91E5-C32C7C688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190798367"/>
        <c:axId val="1190800767"/>
      </c:barChart>
      <c:catAx>
        <c:axId val="119079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800767"/>
        <c:crosses val="autoZero"/>
        <c:auto val="1"/>
        <c:lblAlgn val="ctr"/>
        <c:lblOffset val="100"/>
        <c:noMultiLvlLbl val="0"/>
      </c:catAx>
      <c:valAx>
        <c:axId val="1190800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79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Total Clicks</a:t>
            </a:r>
            <a:r>
              <a:rPr lang="en-US" baseline="0">
                <a:solidFill>
                  <a:srgbClr val="FF0000"/>
                </a:solidFill>
              </a:rPr>
              <a:t> campaign wise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Efectiveness 4'!$AE$14</c:f>
              <c:strCache>
                <c:ptCount val="1"/>
                <c:pt idx="0">
                  <c:v>Total Clicks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'Campaign Efectiveness 4'!$AD$15:$AD$18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NewYearRefresh</c:v>
                </c:pt>
                <c:pt idx="3">
                  <c:v>FestiveRadiance</c:v>
                </c:pt>
              </c:strCache>
            </c:strRef>
          </c:cat>
          <c:val>
            <c:numRef>
              <c:f>'Campaign Efectiveness 4'!$AE$15:$AE$18</c:f>
              <c:numCache>
                <c:formatCode>General</c:formatCode>
                <c:ptCount val="4"/>
                <c:pt idx="0">
                  <c:v>6434</c:v>
                </c:pt>
                <c:pt idx="1">
                  <c:v>10689</c:v>
                </c:pt>
                <c:pt idx="2">
                  <c:v>10032</c:v>
                </c:pt>
                <c:pt idx="3">
                  <c:v>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D-4157-B8EE-60FCC0FA5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37807903"/>
        <c:axId val="1337803583"/>
      </c:barChart>
      <c:catAx>
        <c:axId val="133780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03583"/>
        <c:crosses val="autoZero"/>
        <c:auto val="1"/>
        <c:lblAlgn val="ctr"/>
        <c:lblOffset val="100"/>
        <c:noMultiLvlLbl val="0"/>
      </c:catAx>
      <c:valAx>
        <c:axId val="133780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0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Impresion Campaign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Efectiveness 4'!$AE$20</c:f>
              <c:strCache>
                <c:ptCount val="1"/>
                <c:pt idx="0">
                  <c:v>Average Impresion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'Campaign Efectiveness 4'!$AD$21:$AD$24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NewYearRefresh</c:v>
                </c:pt>
                <c:pt idx="3">
                  <c:v>FestiveRadiance</c:v>
                </c:pt>
              </c:strCache>
            </c:strRef>
          </c:cat>
          <c:val>
            <c:numRef>
              <c:f>'Campaign Efectiveness 4'!$AE$21:$AE$24</c:f>
              <c:numCache>
                <c:formatCode>0</c:formatCode>
                <c:ptCount val="4"/>
                <c:pt idx="0">
                  <c:v>36356.291666666664</c:v>
                </c:pt>
                <c:pt idx="1">
                  <c:v>36277.070422535209</c:v>
                </c:pt>
                <c:pt idx="2">
                  <c:v>35070.803030303032</c:v>
                </c:pt>
                <c:pt idx="3">
                  <c:v>36418.071428571428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E-4152-A09E-3578D81E6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05963568"/>
        <c:axId val="1505973168"/>
      </c:barChart>
      <c:catAx>
        <c:axId val="15059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73168"/>
        <c:crosses val="autoZero"/>
        <c:auto val="1"/>
        <c:lblAlgn val="ctr"/>
        <c:lblOffset val="100"/>
        <c:noMultiLvlLbl val="0"/>
      </c:catAx>
      <c:valAx>
        <c:axId val="15059731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6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Likes campaign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Efectiveness 4'!$AE$26</c:f>
              <c:strCache>
                <c:ptCount val="1"/>
                <c:pt idx="0">
                  <c:v>Average Likes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'Campaign Efectiveness 4'!$AD$27:$AD$30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NewYearRefresh</c:v>
                </c:pt>
                <c:pt idx="3">
                  <c:v>FestiveRadiance</c:v>
                </c:pt>
              </c:strCache>
            </c:strRef>
          </c:cat>
          <c:val>
            <c:numRef>
              <c:f>'Campaign Efectiveness 4'!$AE$27:$AE$30</c:f>
              <c:numCache>
                <c:formatCode>0</c:formatCode>
                <c:ptCount val="4"/>
                <c:pt idx="0">
                  <c:v>2879.5744680851062</c:v>
                </c:pt>
                <c:pt idx="1">
                  <c:v>2598.0281690140846</c:v>
                </c:pt>
                <c:pt idx="2">
                  <c:v>2829.5223880597014</c:v>
                </c:pt>
                <c:pt idx="3">
                  <c:v>2806.4827586206898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A-4A10-B590-FC6BE3C2B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05949648"/>
        <c:axId val="1505953968"/>
      </c:barChart>
      <c:catAx>
        <c:axId val="15059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53968"/>
        <c:crosses val="autoZero"/>
        <c:auto val="1"/>
        <c:lblAlgn val="ctr"/>
        <c:lblOffset val="100"/>
        <c:noMultiLvlLbl val="0"/>
      </c:catAx>
      <c:valAx>
        <c:axId val="15059539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4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Clicks campaign</a:t>
            </a:r>
            <a:r>
              <a:rPr lang="en-US" baseline="0">
                <a:solidFill>
                  <a:srgbClr val="FF0000"/>
                </a:solidFill>
              </a:rPr>
              <a:t> wise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Efectiveness 4'!$AE$32</c:f>
              <c:strCache>
                <c:ptCount val="1"/>
                <c:pt idx="0">
                  <c:v>Average Clicks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'Campaign Efectiveness 4'!$AD$33:$AD$36</c:f>
              <c:strCache>
                <c:ptCount val="4"/>
                <c:pt idx="0">
                  <c:v>SummerSplash</c:v>
                </c:pt>
                <c:pt idx="1">
                  <c:v>DailyWellness</c:v>
                </c:pt>
                <c:pt idx="2">
                  <c:v>NewYearRefresh</c:v>
                </c:pt>
                <c:pt idx="3">
                  <c:v>FestiveRadiance</c:v>
                </c:pt>
              </c:strCache>
            </c:strRef>
          </c:cat>
          <c:val>
            <c:numRef>
              <c:f>'Campaign Efectiveness 4'!$AE$33:$AE$36</c:f>
              <c:numCache>
                <c:formatCode>0</c:formatCode>
                <c:ptCount val="4"/>
                <c:pt idx="0">
                  <c:v>134.04166666666666</c:v>
                </c:pt>
                <c:pt idx="1">
                  <c:v>150.54929577464787</c:v>
                </c:pt>
                <c:pt idx="2">
                  <c:v>149.73134328358208</c:v>
                </c:pt>
                <c:pt idx="3">
                  <c:v>170.20689655172413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F-4101-A6E9-ADAE0731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05980848"/>
        <c:axId val="1505987088"/>
      </c:barChart>
      <c:catAx>
        <c:axId val="15059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87088"/>
        <c:crosses val="autoZero"/>
        <c:auto val="1"/>
        <c:lblAlgn val="ctr"/>
        <c:lblOffset val="100"/>
        <c:noMultiLvlLbl val="0"/>
      </c:catAx>
      <c:valAx>
        <c:axId val="15059870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8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Engagement During DailyWellness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C5-4136-8567-00F8D5FC5D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C5-4136-8567-00F8D5FC5D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Table'!$E$25:$E$27</c:f>
              <c:strCache>
                <c:ptCount val="2"/>
                <c:pt idx="0">
                  <c:v>Before/After</c:v>
                </c:pt>
                <c:pt idx="1">
                  <c:v>During</c:v>
                </c:pt>
              </c:strCache>
            </c:strRef>
          </c:cat>
          <c:val>
            <c:numRef>
              <c:f>'Pivot Table'!$F$25:$F$27</c:f>
              <c:numCache>
                <c:formatCode>General</c:formatCode>
                <c:ptCount val="2"/>
                <c:pt idx="0">
                  <c:v>1004723</c:v>
                </c:pt>
                <c:pt idx="1">
                  <c:v>33044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C5-4136-8567-00F8D5FC5D8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Engagement During SummerSplash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9F-40DB-AA39-32C80CA491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9F-40DB-AA39-32C80CA491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Table'!$A$42:$A$44</c:f>
              <c:strCache>
                <c:ptCount val="2"/>
                <c:pt idx="0">
                  <c:v>Before/After</c:v>
                </c:pt>
                <c:pt idx="1">
                  <c:v>During</c:v>
                </c:pt>
              </c:strCache>
            </c:strRef>
          </c:cat>
          <c:val>
            <c:numRef>
              <c:f>'Pivot Table'!$B$42:$B$44</c:f>
              <c:numCache>
                <c:formatCode>General</c:formatCode>
                <c:ptCount val="2"/>
                <c:pt idx="0">
                  <c:v>933994</c:v>
                </c:pt>
                <c:pt idx="1">
                  <c:v>103773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F-40DB-AA39-32C80CA4913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Engagement During FestiveRadinace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AB-4757-B05D-65D712EB02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AB-4757-B05D-65D712EB02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Table'!$A$47:$A$49</c:f>
              <c:strCache>
                <c:ptCount val="2"/>
                <c:pt idx="0">
                  <c:v>Before/After</c:v>
                </c:pt>
                <c:pt idx="1">
                  <c:v>During</c:v>
                </c:pt>
              </c:strCache>
            </c:strRef>
          </c:cat>
          <c:val>
            <c:numRef>
              <c:f>'Pivot Table'!$B$47:$B$49</c:f>
              <c:numCache>
                <c:formatCode>General</c:formatCode>
                <c:ptCount val="2"/>
                <c:pt idx="0">
                  <c:v>931747</c:v>
                </c:pt>
                <c:pt idx="1">
                  <c:v>106020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AB-4757-B05D-65D712EB021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FF0000"/>
                </a:solidFill>
              </a:rPr>
              <a:t>Engagement During NewYearRefresh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B1-44A4-B593-57033F4F0E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B1-44A4-B593-57033F4F0E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Table'!$E$30:$E$32</c:f>
              <c:strCache>
                <c:ptCount val="2"/>
                <c:pt idx="0">
                  <c:v>Before/After</c:v>
                </c:pt>
                <c:pt idx="1">
                  <c:v>During</c:v>
                </c:pt>
              </c:strCache>
            </c:strRef>
          </c:cat>
          <c:val>
            <c:numRef>
              <c:f>'Pivot Table'!$F$30:$F$32</c:f>
              <c:numCache>
                <c:formatCode>General</c:formatCode>
                <c:ptCount val="2"/>
                <c:pt idx="0">
                  <c:v>900076</c:v>
                </c:pt>
                <c:pt idx="1">
                  <c:v>137691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B1-44A4-B593-57033F4F0E3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 1(AutoRecovered).xlsx]Pivot Table!PivotTable18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Table'!$F$17</c:f>
              <c:strCache>
                <c:ptCount val="1"/>
                <c:pt idx="0">
                  <c:v>Sum of Total Engaagement During Campaign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Table'!$E$18:$E$22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'Pivot Table'!$F$18:$F$22</c:f>
              <c:numCache>
                <c:formatCode>General</c:formatCode>
                <c:ptCount val="4"/>
                <c:pt idx="0">
                  <c:v>33044</c:v>
                </c:pt>
                <c:pt idx="1">
                  <c:v>106020</c:v>
                </c:pt>
                <c:pt idx="2">
                  <c:v>137691</c:v>
                </c:pt>
                <c:pt idx="3">
                  <c:v>103773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A-4D7C-955C-046E99289D87}"/>
            </c:ext>
          </c:extLst>
        </c:ser>
        <c:ser>
          <c:idx val="1"/>
          <c:order val="1"/>
          <c:tx>
            <c:strRef>
              <c:f>'Pivot Table'!$G$17</c:f>
              <c:strCache>
                <c:ptCount val="1"/>
                <c:pt idx="0">
                  <c:v>Sum of Total_Budget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Table'!$E$18:$E$22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'Pivot Table'!$G$18:$G$22</c:f>
              <c:numCache>
                <c:formatCode>General</c:formatCode>
                <c:ptCount val="4"/>
                <c:pt idx="0">
                  <c:v>180000</c:v>
                </c:pt>
                <c:pt idx="1">
                  <c:v>200000</c:v>
                </c:pt>
                <c:pt idx="2">
                  <c:v>250000</c:v>
                </c:pt>
                <c:pt idx="3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A-4D7C-955C-046E99289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3045311"/>
        <c:axId val="1243057791"/>
        <c:axId val="0"/>
      </c:bar3DChart>
      <c:catAx>
        <c:axId val="12430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57791"/>
        <c:crosses val="autoZero"/>
        <c:auto val="1"/>
        <c:lblAlgn val="ctr"/>
        <c:lblOffset val="100"/>
        <c:noMultiLvlLbl val="0"/>
      </c:catAx>
      <c:valAx>
        <c:axId val="12430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Folower Growth Week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'[1]Engagement Summary'!$K$1</c:f>
              <c:strCache>
                <c:ptCount val="1"/>
                <c:pt idx="0">
                  <c:v>Follower Growth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name>199</c:name>
            <c:spPr>
              <a:ln w="19050" cap="rnd">
                <a:gradFill flip="none" rotWithShape="1">
                  <a:gsLst>
                    <a:gs pos="0">
                      <a:schemeClr val="accent2">
                        <a:lumMod val="67000"/>
                      </a:schemeClr>
                    </a:gs>
                    <a:gs pos="48000">
                      <a:schemeClr val="accent2">
                        <a:lumMod val="97000"/>
                        <a:lumOff val="3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</a:ln>
              <a:effectLst/>
            </c:spPr>
            <c:trendlineType val="movingAvg"/>
            <c:period val="199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15"/>
            <c:dispRSqr val="0"/>
            <c:dispEq val="0"/>
          </c:trendline>
          <c:cat>
            <c:strRef>
              <c:f>'[1]Engagement Summary'!$J$2:$J$201</c:f>
              <c:strCache>
                <c:ptCount val="200"/>
                <c:pt idx="0">
                  <c:v>2024-06-03</c:v>
                </c:pt>
                <c:pt idx="1">
                  <c:v>2024-06-03</c:v>
                </c:pt>
                <c:pt idx="2">
                  <c:v>2024-06-03</c:v>
                </c:pt>
                <c:pt idx="3">
                  <c:v>2024-06-03</c:v>
                </c:pt>
                <c:pt idx="4">
                  <c:v>2024-06-10</c:v>
                </c:pt>
                <c:pt idx="5">
                  <c:v>2024-06-10</c:v>
                </c:pt>
                <c:pt idx="6">
                  <c:v>2024-06-10</c:v>
                </c:pt>
                <c:pt idx="7">
                  <c:v>2024-06-10</c:v>
                </c:pt>
                <c:pt idx="8">
                  <c:v>2024-06-17</c:v>
                </c:pt>
                <c:pt idx="9">
                  <c:v>2024-06-17</c:v>
                </c:pt>
                <c:pt idx="10">
                  <c:v>2024-06-17</c:v>
                </c:pt>
                <c:pt idx="11">
                  <c:v>2024-06-17</c:v>
                </c:pt>
                <c:pt idx="12">
                  <c:v>2024-06-24</c:v>
                </c:pt>
                <c:pt idx="13">
                  <c:v>2024-06-24</c:v>
                </c:pt>
                <c:pt idx="14">
                  <c:v>2024-06-24</c:v>
                </c:pt>
                <c:pt idx="15">
                  <c:v>2024-06-24</c:v>
                </c:pt>
                <c:pt idx="16">
                  <c:v>2024-07-01</c:v>
                </c:pt>
                <c:pt idx="17">
                  <c:v>2024-07-01</c:v>
                </c:pt>
                <c:pt idx="18">
                  <c:v>2024-07-01</c:v>
                </c:pt>
                <c:pt idx="19">
                  <c:v>2024-07-01</c:v>
                </c:pt>
                <c:pt idx="20">
                  <c:v>2024-07-08</c:v>
                </c:pt>
                <c:pt idx="21">
                  <c:v>2024-07-08</c:v>
                </c:pt>
                <c:pt idx="22">
                  <c:v>2024-07-08</c:v>
                </c:pt>
                <c:pt idx="23">
                  <c:v>2024-07-08</c:v>
                </c:pt>
                <c:pt idx="24">
                  <c:v>2024-07-15</c:v>
                </c:pt>
                <c:pt idx="25">
                  <c:v>2024-07-15</c:v>
                </c:pt>
                <c:pt idx="26">
                  <c:v>2024-07-15</c:v>
                </c:pt>
                <c:pt idx="27">
                  <c:v>2024-07-15</c:v>
                </c:pt>
                <c:pt idx="28">
                  <c:v>2024-07-22</c:v>
                </c:pt>
                <c:pt idx="29">
                  <c:v>2024-07-22</c:v>
                </c:pt>
                <c:pt idx="30">
                  <c:v>2024-07-22</c:v>
                </c:pt>
                <c:pt idx="31">
                  <c:v>2024-07-22</c:v>
                </c:pt>
                <c:pt idx="32">
                  <c:v>2024-07-29</c:v>
                </c:pt>
                <c:pt idx="33">
                  <c:v>2024-07-29</c:v>
                </c:pt>
                <c:pt idx="34">
                  <c:v>2024-07-29</c:v>
                </c:pt>
                <c:pt idx="35">
                  <c:v>2024-07-29</c:v>
                </c:pt>
                <c:pt idx="36">
                  <c:v>2024-08-05</c:v>
                </c:pt>
                <c:pt idx="37">
                  <c:v>2024-08-05</c:v>
                </c:pt>
                <c:pt idx="38">
                  <c:v>2024-08-05</c:v>
                </c:pt>
                <c:pt idx="39">
                  <c:v>2024-08-05</c:v>
                </c:pt>
                <c:pt idx="40">
                  <c:v>2024-08-12</c:v>
                </c:pt>
                <c:pt idx="41">
                  <c:v>2024-08-12</c:v>
                </c:pt>
                <c:pt idx="42">
                  <c:v>2024-08-12</c:v>
                </c:pt>
                <c:pt idx="43">
                  <c:v>2024-08-12</c:v>
                </c:pt>
                <c:pt idx="44">
                  <c:v>2024-08-19</c:v>
                </c:pt>
                <c:pt idx="45">
                  <c:v>2024-08-19</c:v>
                </c:pt>
                <c:pt idx="46">
                  <c:v>2024-08-19</c:v>
                </c:pt>
                <c:pt idx="47">
                  <c:v>2024-08-19</c:v>
                </c:pt>
                <c:pt idx="48">
                  <c:v>2024-08-26</c:v>
                </c:pt>
                <c:pt idx="49">
                  <c:v>2024-08-26</c:v>
                </c:pt>
                <c:pt idx="50">
                  <c:v>2024-08-26</c:v>
                </c:pt>
                <c:pt idx="51">
                  <c:v>2024-08-26</c:v>
                </c:pt>
                <c:pt idx="52">
                  <c:v>2024-09-02</c:v>
                </c:pt>
                <c:pt idx="53">
                  <c:v>2024-09-02</c:v>
                </c:pt>
                <c:pt idx="54">
                  <c:v>2024-09-02</c:v>
                </c:pt>
                <c:pt idx="55">
                  <c:v>2024-09-02</c:v>
                </c:pt>
                <c:pt idx="56">
                  <c:v>2024-09-09</c:v>
                </c:pt>
                <c:pt idx="57">
                  <c:v>2024-09-09</c:v>
                </c:pt>
                <c:pt idx="58">
                  <c:v>2024-09-09</c:v>
                </c:pt>
                <c:pt idx="59">
                  <c:v>2024-09-09</c:v>
                </c:pt>
                <c:pt idx="60">
                  <c:v>2024-09-16</c:v>
                </c:pt>
                <c:pt idx="61">
                  <c:v>2024-09-16</c:v>
                </c:pt>
                <c:pt idx="62">
                  <c:v>2024-09-16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2024-09-23</c:v>
                </c:pt>
                <c:pt idx="66">
                  <c:v>2024-09-23</c:v>
                </c:pt>
                <c:pt idx="67">
                  <c:v>2024-09-23</c:v>
                </c:pt>
                <c:pt idx="68">
                  <c:v>2024-09-30</c:v>
                </c:pt>
                <c:pt idx="69">
                  <c:v>2024-09-30</c:v>
                </c:pt>
                <c:pt idx="70">
                  <c:v>2024-09-30</c:v>
                </c:pt>
                <c:pt idx="71">
                  <c:v>2024-09-30</c:v>
                </c:pt>
                <c:pt idx="72">
                  <c:v>2024-10-07</c:v>
                </c:pt>
                <c:pt idx="73">
                  <c:v>2024-10-07</c:v>
                </c:pt>
                <c:pt idx="74">
                  <c:v>2024-10-07</c:v>
                </c:pt>
                <c:pt idx="75">
                  <c:v>2024-10-07</c:v>
                </c:pt>
                <c:pt idx="76">
                  <c:v>2024-10-14</c:v>
                </c:pt>
                <c:pt idx="77">
                  <c:v>2024-10-14</c:v>
                </c:pt>
                <c:pt idx="78">
                  <c:v>2024-10-14</c:v>
                </c:pt>
                <c:pt idx="79">
                  <c:v>2024-10-14</c:v>
                </c:pt>
                <c:pt idx="80">
                  <c:v>2024-10-21</c:v>
                </c:pt>
                <c:pt idx="81">
                  <c:v>2024-10-21</c:v>
                </c:pt>
                <c:pt idx="82">
                  <c:v>2024-10-21</c:v>
                </c:pt>
                <c:pt idx="83">
                  <c:v>2024-10-21</c:v>
                </c:pt>
                <c:pt idx="84">
                  <c:v>2024-10-28</c:v>
                </c:pt>
                <c:pt idx="85">
                  <c:v>2024-10-28</c:v>
                </c:pt>
                <c:pt idx="86">
                  <c:v>2024-10-28</c:v>
                </c:pt>
                <c:pt idx="87">
                  <c:v>2024-10-28</c:v>
                </c:pt>
                <c:pt idx="88">
                  <c:v>2024-11-04</c:v>
                </c:pt>
                <c:pt idx="89">
                  <c:v>2024-11-04</c:v>
                </c:pt>
                <c:pt idx="90">
                  <c:v>2024-11-04</c:v>
                </c:pt>
                <c:pt idx="91">
                  <c:v>2024-11-04</c:v>
                </c:pt>
                <c:pt idx="92">
                  <c:v>2024-11-11</c:v>
                </c:pt>
                <c:pt idx="93">
                  <c:v>2024-11-11</c:v>
                </c:pt>
                <c:pt idx="94">
                  <c:v>2024-11-11</c:v>
                </c:pt>
                <c:pt idx="95">
                  <c:v>2024-11-11</c:v>
                </c:pt>
                <c:pt idx="96">
                  <c:v>2024-11-18</c:v>
                </c:pt>
                <c:pt idx="97">
                  <c:v>2024-11-18</c:v>
                </c:pt>
                <c:pt idx="98">
                  <c:v>2024-11-18</c:v>
                </c:pt>
                <c:pt idx="99">
                  <c:v>2024-11-18</c:v>
                </c:pt>
                <c:pt idx="100">
                  <c:v>2024-11-25</c:v>
                </c:pt>
                <c:pt idx="101">
                  <c:v>2024-11-25</c:v>
                </c:pt>
                <c:pt idx="102">
                  <c:v>2024-11-25</c:v>
                </c:pt>
                <c:pt idx="103">
                  <c:v>2024-11-25</c:v>
                </c:pt>
                <c:pt idx="104">
                  <c:v>2024-12-02</c:v>
                </c:pt>
                <c:pt idx="105">
                  <c:v>2024-12-02</c:v>
                </c:pt>
                <c:pt idx="106">
                  <c:v>2024-12-02</c:v>
                </c:pt>
                <c:pt idx="107">
                  <c:v>2024-12-02</c:v>
                </c:pt>
                <c:pt idx="108">
                  <c:v>2024-12-09</c:v>
                </c:pt>
                <c:pt idx="109">
                  <c:v>2024-12-09</c:v>
                </c:pt>
                <c:pt idx="110">
                  <c:v>2024-12-09</c:v>
                </c:pt>
                <c:pt idx="111">
                  <c:v>2024-12-09</c:v>
                </c:pt>
                <c:pt idx="112">
                  <c:v>2024-12-16</c:v>
                </c:pt>
                <c:pt idx="113">
                  <c:v>2024-12-16</c:v>
                </c:pt>
                <c:pt idx="114">
                  <c:v>2024-12-16</c:v>
                </c:pt>
                <c:pt idx="115">
                  <c:v>2024-12-16</c:v>
                </c:pt>
                <c:pt idx="116">
                  <c:v>2024-12-23</c:v>
                </c:pt>
                <c:pt idx="117">
                  <c:v>2024-12-23</c:v>
                </c:pt>
                <c:pt idx="118">
                  <c:v>2024-12-23</c:v>
                </c:pt>
                <c:pt idx="119">
                  <c:v>2024-12-23</c:v>
                </c:pt>
                <c:pt idx="120">
                  <c:v>2024-12-30</c:v>
                </c:pt>
                <c:pt idx="121">
                  <c:v>2024-12-30</c:v>
                </c:pt>
                <c:pt idx="122">
                  <c:v>2024-12-30</c:v>
                </c:pt>
                <c:pt idx="123">
                  <c:v>2024-12-30</c:v>
                </c:pt>
                <c:pt idx="124">
                  <c:v>2025-01-06</c:v>
                </c:pt>
                <c:pt idx="125">
                  <c:v>2025-01-06</c:v>
                </c:pt>
                <c:pt idx="126">
                  <c:v>2025-01-06</c:v>
                </c:pt>
                <c:pt idx="127">
                  <c:v>2025-01-06</c:v>
                </c:pt>
                <c:pt idx="128">
                  <c:v>2025-01-13</c:v>
                </c:pt>
                <c:pt idx="129">
                  <c:v>2025-01-13</c:v>
                </c:pt>
                <c:pt idx="130">
                  <c:v>2025-01-13</c:v>
                </c:pt>
                <c:pt idx="131">
                  <c:v>2025-01-13</c:v>
                </c:pt>
                <c:pt idx="132">
                  <c:v>2025-01-20</c:v>
                </c:pt>
                <c:pt idx="133">
                  <c:v>2025-01-20</c:v>
                </c:pt>
                <c:pt idx="134">
                  <c:v>2025-01-20</c:v>
                </c:pt>
                <c:pt idx="135">
                  <c:v>2025-01-20</c:v>
                </c:pt>
                <c:pt idx="136">
                  <c:v>2025-01-27</c:v>
                </c:pt>
                <c:pt idx="137">
                  <c:v>2025-01-27</c:v>
                </c:pt>
                <c:pt idx="138">
                  <c:v>2025-01-27</c:v>
                </c:pt>
                <c:pt idx="139">
                  <c:v>2025-01-27</c:v>
                </c:pt>
                <c:pt idx="140">
                  <c:v>2025-02-03</c:v>
                </c:pt>
                <c:pt idx="141">
                  <c:v>2025-02-03</c:v>
                </c:pt>
                <c:pt idx="142">
                  <c:v>2025-02-03</c:v>
                </c:pt>
                <c:pt idx="143">
                  <c:v>2025-02-03</c:v>
                </c:pt>
                <c:pt idx="144">
                  <c:v>2025-02-10</c:v>
                </c:pt>
                <c:pt idx="145">
                  <c:v>2025-02-10</c:v>
                </c:pt>
                <c:pt idx="146">
                  <c:v>2025-02-10</c:v>
                </c:pt>
                <c:pt idx="147">
                  <c:v>2025-02-10</c:v>
                </c:pt>
                <c:pt idx="148">
                  <c:v>2025-02-17</c:v>
                </c:pt>
                <c:pt idx="149">
                  <c:v>2025-02-17</c:v>
                </c:pt>
                <c:pt idx="150">
                  <c:v>2025-02-17</c:v>
                </c:pt>
                <c:pt idx="151">
                  <c:v>2025-02-17</c:v>
                </c:pt>
                <c:pt idx="152">
                  <c:v>2025-02-24</c:v>
                </c:pt>
                <c:pt idx="153">
                  <c:v>2025-02-24</c:v>
                </c:pt>
                <c:pt idx="154">
                  <c:v>2025-02-24</c:v>
                </c:pt>
                <c:pt idx="155">
                  <c:v>2025-02-24</c:v>
                </c:pt>
                <c:pt idx="156">
                  <c:v>2025-03-03</c:v>
                </c:pt>
                <c:pt idx="157">
                  <c:v>2025-03-03</c:v>
                </c:pt>
                <c:pt idx="158">
                  <c:v>2025-03-03</c:v>
                </c:pt>
                <c:pt idx="159">
                  <c:v>2025-03-03</c:v>
                </c:pt>
                <c:pt idx="160">
                  <c:v>2025-03-10</c:v>
                </c:pt>
                <c:pt idx="161">
                  <c:v>2025-03-10</c:v>
                </c:pt>
                <c:pt idx="162">
                  <c:v>2025-03-10</c:v>
                </c:pt>
                <c:pt idx="163">
                  <c:v>2025-03-10</c:v>
                </c:pt>
                <c:pt idx="164">
                  <c:v>2025-03-17</c:v>
                </c:pt>
                <c:pt idx="165">
                  <c:v>2025-03-17</c:v>
                </c:pt>
                <c:pt idx="166">
                  <c:v>2025-03-17</c:v>
                </c:pt>
                <c:pt idx="167">
                  <c:v>2025-03-17</c:v>
                </c:pt>
                <c:pt idx="168">
                  <c:v>2025-03-24</c:v>
                </c:pt>
                <c:pt idx="169">
                  <c:v>2025-03-24</c:v>
                </c:pt>
                <c:pt idx="170">
                  <c:v>2025-03-24</c:v>
                </c:pt>
                <c:pt idx="171">
                  <c:v>2025-03-24</c:v>
                </c:pt>
                <c:pt idx="172">
                  <c:v>2025-03-31</c:v>
                </c:pt>
                <c:pt idx="173">
                  <c:v>2025-03-31</c:v>
                </c:pt>
                <c:pt idx="174">
                  <c:v>2025-03-31</c:v>
                </c:pt>
                <c:pt idx="175">
                  <c:v>2025-03-31</c:v>
                </c:pt>
                <c:pt idx="176">
                  <c:v>2025-04-07</c:v>
                </c:pt>
                <c:pt idx="177">
                  <c:v>2025-04-07</c:v>
                </c:pt>
                <c:pt idx="178">
                  <c:v>2025-04-07</c:v>
                </c:pt>
                <c:pt idx="179">
                  <c:v>2025-04-07</c:v>
                </c:pt>
                <c:pt idx="180">
                  <c:v>2025-04-14</c:v>
                </c:pt>
                <c:pt idx="181">
                  <c:v>2025-04-14</c:v>
                </c:pt>
                <c:pt idx="182">
                  <c:v>2025-04-14</c:v>
                </c:pt>
                <c:pt idx="183">
                  <c:v>2025-04-14</c:v>
                </c:pt>
                <c:pt idx="184">
                  <c:v>2025-04-21</c:v>
                </c:pt>
                <c:pt idx="185">
                  <c:v>2025-04-21</c:v>
                </c:pt>
                <c:pt idx="186">
                  <c:v>2025-04-21</c:v>
                </c:pt>
                <c:pt idx="187">
                  <c:v>2025-04-21</c:v>
                </c:pt>
                <c:pt idx="188">
                  <c:v>2025-04-28</c:v>
                </c:pt>
                <c:pt idx="189">
                  <c:v>2025-04-28</c:v>
                </c:pt>
                <c:pt idx="190">
                  <c:v>2025-04-28</c:v>
                </c:pt>
                <c:pt idx="191">
                  <c:v>2025-04-28</c:v>
                </c:pt>
                <c:pt idx="192">
                  <c:v>2025-05-05</c:v>
                </c:pt>
                <c:pt idx="193">
                  <c:v>2025-05-05</c:v>
                </c:pt>
                <c:pt idx="194">
                  <c:v>2025-05-05</c:v>
                </c:pt>
                <c:pt idx="195">
                  <c:v>2025-05-05</c:v>
                </c:pt>
                <c:pt idx="196">
                  <c:v>2025-05-12</c:v>
                </c:pt>
                <c:pt idx="197">
                  <c:v>2025-05-12</c:v>
                </c:pt>
                <c:pt idx="198">
                  <c:v>2025-05-12</c:v>
                </c:pt>
                <c:pt idx="199">
                  <c:v>2025-05-12</c:v>
                </c:pt>
              </c:strCache>
            </c:strRef>
          </c:cat>
          <c:val>
            <c:numRef>
              <c:f>'[1]Engagement Summary'!$K$2:$K$201</c:f>
              <c:numCache>
                <c:formatCode>General</c:formatCode>
                <c:ptCount val="200"/>
                <c:pt idx="0">
                  <c:v>0.30428616268120573</c:v>
                </c:pt>
                <c:pt idx="1">
                  <c:v>2.3491348994232664</c:v>
                </c:pt>
                <c:pt idx="2">
                  <c:v>0.28263208793603661</c:v>
                </c:pt>
                <c:pt idx="3">
                  <c:v>0.27557542170624166</c:v>
                </c:pt>
                <c:pt idx="4">
                  <c:v>1.0517322049758935</c:v>
                </c:pt>
                <c:pt idx="5">
                  <c:v>0.40530081660374973</c:v>
                </c:pt>
                <c:pt idx="6">
                  <c:v>7.3128442639386351E-2</c:v>
                </c:pt>
                <c:pt idx="7">
                  <c:v>0.24016739232334167</c:v>
                </c:pt>
                <c:pt idx="8">
                  <c:v>0.19542790614208244</c:v>
                </c:pt>
                <c:pt idx="9">
                  <c:v>0.8153584745362723</c:v>
                </c:pt>
                <c:pt idx="10">
                  <c:v>1.0551445425805821</c:v>
                </c:pt>
                <c:pt idx="11">
                  <c:v>8.8023800381871797E-2</c:v>
                </c:pt>
                <c:pt idx="12">
                  <c:v>1.7636832660385824</c:v>
                </c:pt>
                <c:pt idx="13">
                  <c:v>6.3510173036698996</c:v>
                </c:pt>
                <c:pt idx="14">
                  <c:v>0.27980604582117208</c:v>
                </c:pt>
                <c:pt idx="15">
                  <c:v>-2.8860773750305036E-2</c:v>
                </c:pt>
                <c:pt idx="16">
                  <c:v>-5.2211602419375981E-2</c:v>
                </c:pt>
                <c:pt idx="17">
                  <c:v>2.9088264703208796E-2</c:v>
                </c:pt>
                <c:pt idx="18">
                  <c:v>0.4303769366169265</c:v>
                </c:pt>
                <c:pt idx="19">
                  <c:v>8.0050669434719113E-2</c:v>
                </c:pt>
                <c:pt idx="20">
                  <c:v>2.8717173625543171</c:v>
                </c:pt>
                <c:pt idx="21">
                  <c:v>0.12276812319721568</c:v>
                </c:pt>
                <c:pt idx="22">
                  <c:v>0.140324773607655</c:v>
                </c:pt>
                <c:pt idx="23">
                  <c:v>0.21994574101175038</c:v>
                </c:pt>
                <c:pt idx="24">
                  <c:v>1.1967386439556591</c:v>
                </c:pt>
                <c:pt idx="25">
                  <c:v>-4.9009939454794309E-2</c:v>
                </c:pt>
                <c:pt idx="26">
                  <c:v>0.18982132901478749</c:v>
                </c:pt>
                <c:pt idx="27">
                  <c:v>0.10211701333265255</c:v>
                </c:pt>
                <c:pt idx="28">
                  <c:v>3.3557613568250697E-2</c:v>
                </c:pt>
                <c:pt idx="29">
                  <c:v>0.32572737872501967</c:v>
                </c:pt>
                <c:pt idx="30">
                  <c:v>0.66371458255580551</c:v>
                </c:pt>
                <c:pt idx="31">
                  <c:v>0.10340418313957282</c:v>
                </c:pt>
                <c:pt idx="32">
                  <c:v>2.2861730899256254</c:v>
                </c:pt>
                <c:pt idx="33">
                  <c:v>-7.309773488968678E-2</c:v>
                </c:pt>
                <c:pt idx="34">
                  <c:v>0.51986619096302167</c:v>
                </c:pt>
                <c:pt idx="35">
                  <c:v>0.76001216019456308</c:v>
                </c:pt>
                <c:pt idx="36">
                  <c:v>8.0371168669857163E-2</c:v>
                </c:pt>
                <c:pt idx="37">
                  <c:v>-0.15755714445670779</c:v>
                </c:pt>
                <c:pt idx="38">
                  <c:v>7.2889860753698937E-2</c:v>
                </c:pt>
                <c:pt idx="39">
                  <c:v>9.9485420240137221E-2</c:v>
                </c:pt>
                <c:pt idx="40">
                  <c:v>0.27085701202809553</c:v>
                </c:pt>
                <c:pt idx="41">
                  <c:v>0.43366318609156984</c:v>
                </c:pt>
                <c:pt idx="42">
                  <c:v>8.5080354946042956E-3</c:v>
                </c:pt>
                <c:pt idx="43">
                  <c:v>1.011348268360087</c:v>
                </c:pt>
                <c:pt idx="44">
                  <c:v>2.335271198731579E-2</c:v>
                </c:pt>
                <c:pt idx="45">
                  <c:v>0.57523759813836151</c:v>
                </c:pt>
                <c:pt idx="46">
                  <c:v>0.88256340939810773</c:v>
                </c:pt>
                <c:pt idx="47">
                  <c:v>0.21728440241071326</c:v>
                </c:pt>
                <c:pt idx="48">
                  <c:v>0.35456226214689768</c:v>
                </c:pt>
                <c:pt idx="49">
                  <c:v>9.7527544941747053E-3</c:v>
                </c:pt>
                <c:pt idx="50">
                  <c:v>0.65914381026955704</c:v>
                </c:pt>
                <c:pt idx="51">
                  <c:v>1.1713324743561855E-2</c:v>
                </c:pt>
                <c:pt idx="52">
                  <c:v>1.2306082974775983</c:v>
                </c:pt>
                <c:pt idx="53">
                  <c:v>0.21026918479944948</c:v>
                </c:pt>
                <c:pt idx="54">
                  <c:v>6.1798299135137513E-2</c:v>
                </c:pt>
                <c:pt idx="55">
                  <c:v>8.9764429025449427E-2</c:v>
                </c:pt>
                <c:pt idx="56">
                  <c:v>0.41581361392816901</c:v>
                </c:pt>
                <c:pt idx="57">
                  <c:v>0.46435400163889645</c:v>
                </c:pt>
                <c:pt idx="58">
                  <c:v>5.990134708914012E-2</c:v>
                </c:pt>
                <c:pt idx="59">
                  <c:v>1.703234597339857</c:v>
                </c:pt>
                <c:pt idx="60">
                  <c:v>0.74222825979957874</c:v>
                </c:pt>
                <c:pt idx="61">
                  <c:v>2.0668041724136478E-2</c:v>
                </c:pt>
                <c:pt idx="62">
                  <c:v>0.2867301296020186</c:v>
                </c:pt>
                <c:pt idx="63">
                  <c:v>-2.6681341404439108E-2</c:v>
                </c:pt>
                <c:pt idx="64">
                  <c:v>0.15758651286601597</c:v>
                </c:pt>
                <c:pt idx="65">
                  <c:v>-7.924822629956663E-3</c:v>
                </c:pt>
                <c:pt idx="66">
                  <c:v>0.62566104068286432</c:v>
                </c:pt>
                <c:pt idx="67">
                  <c:v>1.592351646960128</c:v>
                </c:pt>
                <c:pt idx="68">
                  <c:v>0.27682576721248608</c:v>
                </c:pt>
                <c:pt idx="69">
                  <c:v>-3.9477485703195474E-2</c:v>
                </c:pt>
                <c:pt idx="70">
                  <c:v>0.92287307798970819</c:v>
                </c:pt>
                <c:pt idx="71">
                  <c:v>1.8079694785926241</c:v>
                </c:pt>
                <c:pt idx="72">
                  <c:v>1.000090820213374</c:v>
                </c:pt>
                <c:pt idx="73">
                  <c:v>0.43810281972675247</c:v>
                </c:pt>
                <c:pt idx="74">
                  <c:v>2.2456063766826309E-2</c:v>
                </c:pt>
                <c:pt idx="75">
                  <c:v>0.10019784829366461</c:v>
                </c:pt>
                <c:pt idx="76">
                  <c:v>0.31501331857780751</c:v>
                </c:pt>
                <c:pt idx="77">
                  <c:v>0.18083871090552606</c:v>
                </c:pt>
                <c:pt idx="78">
                  <c:v>-6.4563614529395824E-3</c:v>
                </c:pt>
                <c:pt idx="79">
                  <c:v>0.18425729749269498</c:v>
                </c:pt>
                <c:pt idx="80">
                  <c:v>7.3371064356504964E-2</c:v>
                </c:pt>
                <c:pt idx="81">
                  <c:v>1.8687212668142346</c:v>
                </c:pt>
                <c:pt idx="82">
                  <c:v>0.24623771231227276</c:v>
                </c:pt>
                <c:pt idx="83">
                  <c:v>0.57763419096181545</c:v>
                </c:pt>
                <c:pt idx="84">
                  <c:v>0.166223212379012</c:v>
                </c:pt>
                <c:pt idx="85">
                  <c:v>0.18382090319876945</c:v>
                </c:pt>
                <c:pt idx="86">
                  <c:v>1.5381417584701726E-2</c:v>
                </c:pt>
                <c:pt idx="87">
                  <c:v>0.54180958515762179</c:v>
                </c:pt>
                <c:pt idx="88">
                  <c:v>2.5430053699827071</c:v>
                </c:pt>
                <c:pt idx="89">
                  <c:v>0.16918035252172714</c:v>
                </c:pt>
                <c:pt idx="90">
                  <c:v>0.36508153411678962</c:v>
                </c:pt>
                <c:pt idx="91">
                  <c:v>0.40317597627286211</c:v>
                </c:pt>
                <c:pt idx="92">
                  <c:v>1.7550345364335054</c:v>
                </c:pt>
                <c:pt idx="93">
                  <c:v>-3.4250669665215859E-2</c:v>
                </c:pt>
                <c:pt idx="94">
                  <c:v>1.3172212358971422</c:v>
                </c:pt>
                <c:pt idx="95">
                  <c:v>0.28821299683708945</c:v>
                </c:pt>
                <c:pt idx="96">
                  <c:v>-9.5914811987394058E-2</c:v>
                </c:pt>
                <c:pt idx="97">
                  <c:v>2.124852809675163E-2</c:v>
                </c:pt>
                <c:pt idx="98">
                  <c:v>9.1277744844858608E-2</c:v>
                </c:pt>
                <c:pt idx="99">
                  <c:v>1.9887634863023914E-2</c:v>
                </c:pt>
                <c:pt idx="100">
                  <c:v>0.59936417126309005</c:v>
                </c:pt>
                <c:pt idx="101">
                  <c:v>0.39565022381564841</c:v>
                </c:pt>
                <c:pt idx="102">
                  <c:v>0.11079079758069074</c:v>
                </c:pt>
                <c:pt idx="103">
                  <c:v>1.4152074838090669</c:v>
                </c:pt>
                <c:pt idx="104">
                  <c:v>0.38511033114748661</c:v>
                </c:pt>
                <c:pt idx="105">
                  <c:v>0.36277109484146308</c:v>
                </c:pt>
                <c:pt idx="106">
                  <c:v>0.37850431101244258</c:v>
                </c:pt>
                <c:pt idx="107">
                  <c:v>0.13151115811166245</c:v>
                </c:pt>
                <c:pt idx="108">
                  <c:v>0.5072161583928636</c:v>
                </c:pt>
                <c:pt idx="109">
                  <c:v>3.8307014117515763</c:v>
                </c:pt>
                <c:pt idx="110">
                  <c:v>8.3806473528412688</c:v>
                </c:pt>
                <c:pt idx="111">
                  <c:v>0.12679964770499277</c:v>
                </c:pt>
                <c:pt idx="112">
                  <c:v>0.30759118725472717</c:v>
                </c:pt>
                <c:pt idx="113">
                  <c:v>0.33115688467227011</c:v>
                </c:pt>
                <c:pt idx="114">
                  <c:v>0.41536387893013998</c:v>
                </c:pt>
                <c:pt idx="115">
                  <c:v>0.17917737946946316</c:v>
                </c:pt>
                <c:pt idx="116">
                  <c:v>0.24359408109118752</c:v>
                </c:pt>
                <c:pt idx="117">
                  <c:v>0.78202834584935776</c:v>
                </c:pt>
                <c:pt idx="118">
                  <c:v>1.123041457611657</c:v>
                </c:pt>
                <c:pt idx="119">
                  <c:v>6.3113158835445047</c:v>
                </c:pt>
                <c:pt idx="120">
                  <c:v>1.2535155251271271</c:v>
                </c:pt>
                <c:pt idx="121">
                  <c:v>0.46806929323118035</c:v>
                </c:pt>
                <c:pt idx="122">
                  <c:v>0.55634189738421069</c:v>
                </c:pt>
                <c:pt idx="123">
                  <c:v>1.0669005078738718</c:v>
                </c:pt>
                <c:pt idx="124">
                  <c:v>0.19361810704529764</c:v>
                </c:pt>
                <c:pt idx="125">
                  <c:v>0.64766839378238339</c:v>
                </c:pt>
                <c:pt idx="126">
                  <c:v>0.32008104408927779</c:v>
                </c:pt>
                <c:pt idx="127">
                  <c:v>0.88669950738916259</c:v>
                </c:pt>
                <c:pt idx="128">
                  <c:v>0.49282654051223052</c:v>
                </c:pt>
                <c:pt idx="129">
                  <c:v>0.13262186302564766</c:v>
                </c:pt>
                <c:pt idx="130">
                  <c:v>-2.9514486693885584E-2</c:v>
                </c:pt>
                <c:pt idx="131">
                  <c:v>6.2409087760615085</c:v>
                </c:pt>
                <c:pt idx="132">
                  <c:v>0.40971536250166152</c:v>
                </c:pt>
                <c:pt idx="133">
                  <c:v>8.905295209493419E-2</c:v>
                </c:pt>
                <c:pt idx="134">
                  <c:v>0.71621491270377158</c:v>
                </c:pt>
                <c:pt idx="135">
                  <c:v>0.2148693125665902</c:v>
                </c:pt>
                <c:pt idx="136">
                  <c:v>-4.6464109274628081E-2</c:v>
                </c:pt>
                <c:pt idx="137">
                  <c:v>0.27948348464241363</c:v>
                </c:pt>
                <c:pt idx="138">
                  <c:v>0.54309533874905258</c:v>
                </c:pt>
                <c:pt idx="139">
                  <c:v>0.26534161921203286</c:v>
                </c:pt>
                <c:pt idx="140">
                  <c:v>0.30720567989168157</c:v>
                </c:pt>
                <c:pt idx="141">
                  <c:v>0.5500525785553031</c:v>
                </c:pt>
                <c:pt idx="142">
                  <c:v>0.32046588643454949</c:v>
                </c:pt>
                <c:pt idx="143">
                  <c:v>-7.4972485467156139E-2</c:v>
                </c:pt>
                <c:pt idx="144">
                  <c:v>0.77568587198256844</c:v>
                </c:pt>
                <c:pt idx="145">
                  <c:v>0.29427518601934727</c:v>
                </c:pt>
                <c:pt idx="146">
                  <c:v>0.94958208908059605</c:v>
                </c:pt>
                <c:pt idx="147">
                  <c:v>0.29756017144741181</c:v>
                </c:pt>
                <c:pt idx="148">
                  <c:v>0.21291007252180397</c:v>
                </c:pt>
                <c:pt idx="149">
                  <c:v>1.5147617822744293</c:v>
                </c:pt>
                <c:pt idx="150">
                  <c:v>-2.5410691720235155E-2</c:v>
                </c:pt>
                <c:pt idx="151">
                  <c:v>1.1086997546706925</c:v>
                </c:pt>
                <c:pt idx="152">
                  <c:v>1.08675033985647</c:v>
                </c:pt>
                <c:pt idx="153">
                  <c:v>0.74073109768798173</c:v>
                </c:pt>
                <c:pt idx="154">
                  <c:v>0.22333891680625351</c:v>
                </c:pt>
                <c:pt idx="155">
                  <c:v>0.21885278918832757</c:v>
                </c:pt>
                <c:pt idx="156">
                  <c:v>0.51052298518124528</c:v>
                </c:pt>
                <c:pt idx="157">
                  <c:v>-3.2435585380545737E-2</c:v>
                </c:pt>
                <c:pt idx="158">
                  <c:v>0.19268070513850935</c:v>
                </c:pt>
                <c:pt idx="159">
                  <c:v>0.14029055733207443</c:v>
                </c:pt>
                <c:pt idx="160">
                  <c:v>4.5873346287504703E-2</c:v>
                </c:pt>
                <c:pt idx="161">
                  <c:v>0.26639909400836753</c:v>
                </c:pt>
                <c:pt idx="162">
                  <c:v>10.825114265095021</c:v>
                </c:pt>
                <c:pt idx="163">
                  <c:v>1.2622336046830696</c:v>
                </c:pt>
                <c:pt idx="164">
                  <c:v>0.16572027392586453</c:v>
                </c:pt>
                <c:pt idx="165">
                  <c:v>0.32619275185675578</c:v>
                </c:pt>
                <c:pt idx="166">
                  <c:v>6.9173294769824052</c:v>
                </c:pt>
                <c:pt idx="167">
                  <c:v>7.9689298043728432</c:v>
                </c:pt>
                <c:pt idx="168">
                  <c:v>0.12636715002329982</c:v>
                </c:pt>
                <c:pt idx="169">
                  <c:v>0.1268716241173857</c:v>
                </c:pt>
                <c:pt idx="170">
                  <c:v>0.13832962243592781</c:v>
                </c:pt>
                <c:pt idx="171">
                  <c:v>8.8022790888170319E-2</c:v>
                </c:pt>
                <c:pt idx="172">
                  <c:v>0.22667798288422092</c:v>
                </c:pt>
                <c:pt idx="173">
                  <c:v>0.13889264193260734</c:v>
                </c:pt>
                <c:pt idx="174">
                  <c:v>0.84497101083942527</c:v>
                </c:pt>
                <c:pt idx="175">
                  <c:v>0.33667947287974553</c:v>
                </c:pt>
                <c:pt idx="176">
                  <c:v>0.21195852212872357</c:v>
                </c:pt>
                <c:pt idx="177">
                  <c:v>1.0436528865268369</c:v>
                </c:pt>
                <c:pt idx="178">
                  <c:v>3.4032917638311533</c:v>
                </c:pt>
                <c:pt idx="179">
                  <c:v>7.1981098934404214E-2</c:v>
                </c:pt>
                <c:pt idx="180">
                  <c:v>-0.2399448126930806</c:v>
                </c:pt>
                <c:pt idx="181">
                  <c:v>-0.24750024750024749</c:v>
                </c:pt>
                <c:pt idx="182">
                  <c:v>3.7191155522184875E-2</c:v>
                </c:pt>
                <c:pt idx="183">
                  <c:v>3.9239564305527365E-2</c:v>
                </c:pt>
                <c:pt idx="184">
                  <c:v>0.95802484827301337</c:v>
                </c:pt>
                <c:pt idx="185">
                  <c:v>0.27690774864725926</c:v>
                </c:pt>
                <c:pt idx="186">
                  <c:v>0.22734693021737243</c:v>
                </c:pt>
                <c:pt idx="187">
                  <c:v>0.60267642955734835</c:v>
                </c:pt>
                <c:pt idx="188">
                  <c:v>0.34511059684624079</c:v>
                </c:pt>
                <c:pt idx="189">
                  <c:v>0.2014855668727483</c:v>
                </c:pt>
                <c:pt idx="190">
                  <c:v>0.19454574184929271</c:v>
                </c:pt>
                <c:pt idx="191">
                  <c:v>5.5706165282028861</c:v>
                </c:pt>
                <c:pt idx="192">
                  <c:v>0.41995793722733987</c:v>
                </c:pt>
                <c:pt idx="193">
                  <c:v>8.0965664826031306E-2</c:v>
                </c:pt>
                <c:pt idx="194">
                  <c:v>0.311749015203442</c:v>
                </c:pt>
                <c:pt idx="195">
                  <c:v>0.58190830903102841</c:v>
                </c:pt>
                <c:pt idx="196">
                  <c:v>0.35361871958419905</c:v>
                </c:pt>
                <c:pt idx="197">
                  <c:v>0.11156186612576065</c:v>
                </c:pt>
                <c:pt idx="198">
                  <c:v>5.8952701962314107E-2</c:v>
                </c:pt>
                <c:pt idx="199">
                  <c:v>-0.4081978730104896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76-4A41-97D0-B91A0EB38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436207"/>
        <c:axId val="271441007"/>
      </c:lineChart>
      <c:catAx>
        <c:axId val="27143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1007"/>
        <c:crosses val="autoZero"/>
        <c:auto val="1"/>
        <c:lblAlgn val="ctr"/>
        <c:lblOffset val="100"/>
        <c:noMultiLvlLbl val="0"/>
      </c:catAx>
      <c:valAx>
        <c:axId val="2714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3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5</xdr:col>
      <xdr:colOff>1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A9D06-16EC-40D4-A48C-18B8316BC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19051</xdr:colOff>
      <xdr:row>14</xdr:row>
      <xdr:rowOff>100012</xdr:rowOff>
    </xdr:from>
    <xdr:to>
      <xdr:col>4</xdr:col>
      <xdr:colOff>1019175</xdr:colOff>
      <xdr:row>28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919CE-885F-48EA-0AB7-37F094FD9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13004</xdr:colOff>
      <xdr:row>0</xdr:row>
      <xdr:rowOff>0</xdr:rowOff>
    </xdr:from>
    <xdr:to>
      <xdr:col>10</xdr:col>
      <xdr:colOff>123825</xdr:colOff>
      <xdr:row>14</xdr:row>
      <xdr:rowOff>70555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FC2E71-3019-45C4-8A77-0F32ED8EB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5336</xdr:colOff>
      <xdr:row>14</xdr:row>
      <xdr:rowOff>85503</xdr:rowOff>
    </xdr:from>
    <xdr:to>
      <xdr:col>10</xdr:col>
      <xdr:colOff>123825</xdr:colOff>
      <xdr:row>28</xdr:row>
      <xdr:rowOff>161703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7DCCA7-1E92-318D-520B-7A87B270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123825</xdr:colOff>
      <xdr:row>0</xdr:row>
      <xdr:rowOff>0</xdr:rowOff>
    </xdr:from>
    <xdr:to>
      <xdr:col>15</xdr:col>
      <xdr:colOff>1047750</xdr:colOff>
      <xdr:row>14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149351-B132-4592-9425-B58DE1492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276225</xdr:colOff>
      <xdr:row>14</xdr:row>
      <xdr:rowOff>152400</xdr:rowOff>
    </xdr:from>
    <xdr:to>
      <xdr:col>15</xdr:col>
      <xdr:colOff>533400</xdr:colOff>
      <xdr:row>29</xdr:row>
      <xdr:rowOff>9525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F2AA913-6E32-C983-7571-3D41BC981880}"/>
            </a:ext>
          </a:extLst>
        </xdr:cNvPr>
        <xdr:cNvSpPr/>
      </xdr:nvSpPr>
      <xdr:spPr>
        <a:xfrm>
          <a:off x="11906250" y="2819400"/>
          <a:ext cx="5638800" cy="27146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6ED25-739E-4297-B4D7-9C844495D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0</xdr:row>
      <xdr:rowOff>0</xdr:rowOff>
    </xdr:from>
    <xdr:to>
      <xdr:col>15</xdr:col>
      <xdr:colOff>9525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0FDCBF-30DD-65C6-F3B5-19BB9677E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14</xdr:row>
      <xdr:rowOff>80962</xdr:rowOff>
    </xdr:from>
    <xdr:to>
      <xdr:col>7</xdr:col>
      <xdr:colOff>314325</xdr:colOff>
      <xdr:row>28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6A7F27-24A8-4718-E119-3140B4707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14</xdr:row>
      <xdr:rowOff>152400</xdr:rowOff>
    </xdr:from>
    <xdr:to>
      <xdr:col>15</xdr:col>
      <xdr:colOff>123825</xdr:colOff>
      <xdr:row>28</xdr:row>
      <xdr:rowOff>114300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2527E08-8E16-17BF-6008-188279F91D25}"/>
            </a:ext>
          </a:extLst>
        </xdr:cNvPr>
        <xdr:cNvSpPr/>
      </xdr:nvSpPr>
      <xdr:spPr>
        <a:xfrm>
          <a:off x="4724400" y="2819400"/>
          <a:ext cx="4543425" cy="26384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06F1C-C64F-4122-BFB1-BAFE6A19A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295275</xdr:colOff>
      <xdr:row>0</xdr:row>
      <xdr:rowOff>0</xdr:rowOff>
    </xdr:from>
    <xdr:to>
      <xdr:col>14</xdr:col>
      <xdr:colOff>600075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7F2224-4BDF-4AD3-98F5-04E388164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47625</xdr:rowOff>
    </xdr:from>
    <xdr:to>
      <xdr:col>7</xdr:col>
      <xdr:colOff>323850</xdr:colOff>
      <xdr:row>28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3C3DEA-1613-4B52-82F4-64F7A508B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361949</xdr:colOff>
      <xdr:row>14</xdr:row>
      <xdr:rowOff>85726</xdr:rowOff>
    </xdr:from>
    <xdr:to>
      <xdr:col>14</xdr:col>
      <xdr:colOff>600074</xdr:colOff>
      <xdr:row>28</xdr:row>
      <xdr:rowOff>123826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F90DBBB-4801-7D77-1076-B5D7E68C0C57}"/>
            </a:ext>
          </a:extLst>
        </xdr:cNvPr>
        <xdr:cNvSpPr/>
      </xdr:nvSpPr>
      <xdr:spPr>
        <a:xfrm>
          <a:off x="4629149" y="2752726"/>
          <a:ext cx="4505325" cy="27051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296103</xdr:colOff>
      <xdr:row>14</xdr:row>
      <xdr:rowOff>138319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6275D-4715-4744-A4BA-506B04F50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0</xdr:row>
      <xdr:rowOff>23812</xdr:rowOff>
    </xdr:from>
    <xdr:to>
      <xdr:col>15</xdr:col>
      <xdr:colOff>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D3B50-0995-AF8C-8411-CF0E0BC1D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0</xdr:row>
      <xdr:rowOff>23812</xdr:rowOff>
    </xdr:from>
    <xdr:to>
      <xdr:col>21</xdr:col>
      <xdr:colOff>19050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5C4446-49EF-CF93-046E-36AF05CA8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138112</xdr:rowOff>
    </xdr:from>
    <xdr:to>
      <xdr:col>7</xdr:col>
      <xdr:colOff>304800</xdr:colOff>
      <xdr:row>29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46598D-5F97-3406-00BB-39A9E2C6F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323850</xdr:colOff>
      <xdr:row>14</xdr:row>
      <xdr:rowOff>138112</xdr:rowOff>
    </xdr:from>
    <xdr:to>
      <xdr:col>15</xdr:col>
      <xdr:colOff>19050</xdr:colOff>
      <xdr:row>29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1A0E7A-0FC3-9702-A3B9-277067D2A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14</xdr:row>
      <xdr:rowOff>157162</xdr:rowOff>
    </xdr:from>
    <xdr:to>
      <xdr:col>21</xdr:col>
      <xdr:colOff>28575</xdr:colOff>
      <xdr:row>29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591E44-4157-EE64-6ED6-1687C15E8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9525</xdr:colOff>
      <xdr:row>0</xdr:row>
      <xdr:rowOff>9524</xdr:rowOff>
    </xdr:from>
    <xdr:to>
      <xdr:col>25</xdr:col>
      <xdr:colOff>1197427</xdr:colOff>
      <xdr:row>14</xdr:row>
      <xdr:rowOff>152399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31D346-E7BD-415C-839F-0C4047554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28574</xdr:colOff>
      <xdr:row>14</xdr:row>
      <xdr:rowOff>142875</xdr:rowOff>
    </xdr:from>
    <xdr:to>
      <xdr:col>25</xdr:col>
      <xdr:colOff>1200149</xdr:colOff>
      <xdr:row>29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809E733-994E-4231-9BA2-75C08A62A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289800</xdr:colOff>
      <xdr:row>43</xdr:row>
      <xdr:rowOff>34787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5F2D56-1B05-48ED-B1E4-6088B90D6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306918</xdr:colOff>
      <xdr:row>28</xdr:row>
      <xdr:rowOff>169333</xdr:rowOff>
    </xdr:from>
    <xdr:to>
      <xdr:col>15</xdr:col>
      <xdr:colOff>21167</xdr:colOff>
      <xdr:row>43</xdr:row>
      <xdr:rowOff>55033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308DE0A-3F01-40AB-828C-F0B691031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30428</xdr:colOff>
      <xdr:row>29</xdr:row>
      <xdr:rowOff>38365</xdr:rowOff>
    </xdr:from>
    <xdr:to>
      <xdr:col>26</xdr:col>
      <xdr:colOff>0</xdr:colOff>
      <xdr:row>43</xdr:row>
      <xdr:rowOff>114565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57AD5C2-CEF5-4EFD-8F3D-33D166E07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7764125" cy="2552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E7F61-09B7-4C71-AFB1-490CA8C5BE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Data%20Science\Excel%20Project%2016Jan\Social_Media_Analytics_Dataset.xlsx" TargetMode="External"/><Relationship Id="rId1" Type="http://schemas.openxmlformats.org/officeDocument/2006/relationships/externalLinkPath" Target="Social_Media_Analytics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Table"/>
      <sheetName val="Posts"/>
      <sheetName val="Campaign Metadata"/>
      <sheetName val="Engagement Summary"/>
      <sheetName val="Dashboard"/>
      <sheetName val="Follower Growth Week Wise"/>
    </sheetNames>
    <sheetDataSet>
      <sheetData sheetId="0"/>
      <sheetData sheetId="1"/>
      <sheetData sheetId="2"/>
      <sheetData sheetId="3">
        <row r="1">
          <cell r="K1" t="str">
            <v>Follower Growth</v>
          </cell>
        </row>
        <row r="2">
          <cell r="J2" t="str">
            <v>2024-06-03</v>
          </cell>
          <cell r="K2">
            <v>0.30428616268120573</v>
          </cell>
        </row>
        <row r="3">
          <cell r="J3" t="str">
            <v>2024-06-03</v>
          </cell>
          <cell r="K3">
            <v>2.3491348994232664</v>
          </cell>
        </row>
        <row r="4">
          <cell r="J4" t="str">
            <v>2024-06-03</v>
          </cell>
          <cell r="K4">
            <v>0.28263208793603661</v>
          </cell>
        </row>
        <row r="5">
          <cell r="J5" t="str">
            <v>2024-06-03</v>
          </cell>
          <cell r="K5">
            <v>0.27557542170624166</v>
          </cell>
        </row>
        <row r="6">
          <cell r="J6" t="str">
            <v>2024-06-10</v>
          </cell>
          <cell r="K6">
            <v>1.0517322049758935</v>
          </cell>
        </row>
        <row r="7">
          <cell r="J7" t="str">
            <v>2024-06-10</v>
          </cell>
          <cell r="K7">
            <v>0.40530081660374973</v>
          </cell>
        </row>
        <row r="8">
          <cell r="J8" t="str">
            <v>2024-06-10</v>
          </cell>
          <cell r="K8">
            <v>7.3128442639386351E-2</v>
          </cell>
        </row>
        <row r="9">
          <cell r="J9" t="str">
            <v>2024-06-10</v>
          </cell>
          <cell r="K9">
            <v>0.24016739232334167</v>
          </cell>
        </row>
        <row r="10">
          <cell r="J10" t="str">
            <v>2024-06-17</v>
          </cell>
          <cell r="K10">
            <v>0.19542790614208244</v>
          </cell>
        </row>
        <row r="11">
          <cell r="J11" t="str">
            <v>2024-06-17</v>
          </cell>
          <cell r="K11">
            <v>0.8153584745362723</v>
          </cell>
        </row>
        <row r="12">
          <cell r="J12" t="str">
            <v>2024-06-17</v>
          </cell>
          <cell r="K12">
            <v>1.0551445425805821</v>
          </cell>
        </row>
        <row r="13">
          <cell r="J13" t="str">
            <v>2024-06-17</v>
          </cell>
          <cell r="K13">
            <v>8.8023800381871797E-2</v>
          </cell>
        </row>
        <row r="14">
          <cell r="J14" t="str">
            <v>2024-06-24</v>
          </cell>
          <cell r="K14">
            <v>1.7636832660385824</v>
          </cell>
        </row>
        <row r="15">
          <cell r="J15" t="str">
            <v>2024-06-24</v>
          </cell>
          <cell r="K15">
            <v>6.3510173036698996</v>
          </cell>
        </row>
        <row r="16">
          <cell r="J16" t="str">
            <v>2024-06-24</v>
          </cell>
          <cell r="K16">
            <v>0.27980604582117208</v>
          </cell>
        </row>
        <row r="17">
          <cell r="J17" t="str">
            <v>2024-06-24</v>
          </cell>
          <cell r="K17">
            <v>-2.8860773750305036E-2</v>
          </cell>
        </row>
        <row r="18">
          <cell r="J18" t="str">
            <v>2024-07-01</v>
          </cell>
          <cell r="K18">
            <v>-5.2211602419375981E-2</v>
          </cell>
        </row>
        <row r="19">
          <cell r="J19" t="str">
            <v>2024-07-01</v>
          </cell>
          <cell r="K19">
            <v>2.9088264703208796E-2</v>
          </cell>
        </row>
        <row r="20">
          <cell r="J20" t="str">
            <v>2024-07-01</v>
          </cell>
          <cell r="K20">
            <v>0.4303769366169265</v>
          </cell>
        </row>
        <row r="21">
          <cell r="J21" t="str">
            <v>2024-07-01</v>
          </cell>
          <cell r="K21">
            <v>8.0050669434719113E-2</v>
          </cell>
        </row>
        <row r="22">
          <cell r="J22" t="str">
            <v>2024-07-08</v>
          </cell>
          <cell r="K22">
            <v>2.8717173625543171</v>
          </cell>
        </row>
        <row r="23">
          <cell r="J23" t="str">
            <v>2024-07-08</v>
          </cell>
          <cell r="K23">
            <v>0.12276812319721568</v>
          </cell>
        </row>
        <row r="24">
          <cell r="J24" t="str">
            <v>2024-07-08</v>
          </cell>
          <cell r="K24">
            <v>0.140324773607655</v>
          </cell>
        </row>
        <row r="25">
          <cell r="J25" t="str">
            <v>2024-07-08</v>
          </cell>
          <cell r="K25">
            <v>0.21994574101175038</v>
          </cell>
        </row>
        <row r="26">
          <cell r="J26" t="str">
            <v>2024-07-15</v>
          </cell>
          <cell r="K26">
            <v>1.1967386439556591</v>
          </cell>
        </row>
        <row r="27">
          <cell r="J27" t="str">
            <v>2024-07-15</v>
          </cell>
          <cell r="K27">
            <v>-4.9009939454794309E-2</v>
          </cell>
        </row>
        <row r="28">
          <cell r="J28" t="str">
            <v>2024-07-15</v>
          </cell>
          <cell r="K28">
            <v>0.18982132901478749</v>
          </cell>
        </row>
        <row r="29">
          <cell r="J29" t="str">
            <v>2024-07-15</v>
          </cell>
          <cell r="K29">
            <v>0.10211701333265255</v>
          </cell>
        </row>
        <row r="30">
          <cell r="J30" t="str">
            <v>2024-07-22</v>
          </cell>
          <cell r="K30">
            <v>3.3557613568250697E-2</v>
          </cell>
        </row>
        <row r="31">
          <cell r="J31" t="str">
            <v>2024-07-22</v>
          </cell>
          <cell r="K31">
            <v>0.32572737872501967</v>
          </cell>
        </row>
        <row r="32">
          <cell r="J32" t="str">
            <v>2024-07-22</v>
          </cell>
          <cell r="K32">
            <v>0.66371458255580551</v>
          </cell>
        </row>
        <row r="33">
          <cell r="J33" t="str">
            <v>2024-07-22</v>
          </cell>
          <cell r="K33">
            <v>0.10340418313957282</v>
          </cell>
        </row>
        <row r="34">
          <cell r="J34" t="str">
            <v>2024-07-29</v>
          </cell>
          <cell r="K34">
            <v>2.2861730899256254</v>
          </cell>
        </row>
        <row r="35">
          <cell r="J35" t="str">
            <v>2024-07-29</v>
          </cell>
          <cell r="K35">
            <v>-7.309773488968678E-2</v>
          </cell>
        </row>
        <row r="36">
          <cell r="J36" t="str">
            <v>2024-07-29</v>
          </cell>
          <cell r="K36">
            <v>0.51986619096302167</v>
          </cell>
        </row>
        <row r="37">
          <cell r="J37" t="str">
            <v>2024-07-29</v>
          </cell>
          <cell r="K37">
            <v>0.76001216019456308</v>
          </cell>
        </row>
        <row r="38">
          <cell r="J38" t="str">
            <v>2024-08-05</v>
          </cell>
          <cell r="K38">
            <v>8.0371168669857163E-2</v>
          </cell>
        </row>
        <row r="39">
          <cell r="J39" t="str">
            <v>2024-08-05</v>
          </cell>
          <cell r="K39">
            <v>-0.15755714445670779</v>
          </cell>
        </row>
        <row r="40">
          <cell r="J40" t="str">
            <v>2024-08-05</v>
          </cell>
          <cell r="K40">
            <v>7.2889860753698937E-2</v>
          </cell>
        </row>
        <row r="41">
          <cell r="J41" t="str">
            <v>2024-08-05</v>
          </cell>
          <cell r="K41">
            <v>9.9485420240137221E-2</v>
          </cell>
        </row>
        <row r="42">
          <cell r="J42" t="str">
            <v>2024-08-12</v>
          </cell>
          <cell r="K42">
            <v>0.27085701202809553</v>
          </cell>
        </row>
        <row r="43">
          <cell r="J43" t="str">
            <v>2024-08-12</v>
          </cell>
          <cell r="K43">
            <v>0.43366318609156984</v>
          </cell>
        </row>
        <row r="44">
          <cell r="J44" t="str">
            <v>2024-08-12</v>
          </cell>
          <cell r="K44">
            <v>8.5080354946042956E-3</v>
          </cell>
        </row>
        <row r="45">
          <cell r="J45" t="str">
            <v>2024-08-12</v>
          </cell>
          <cell r="K45">
            <v>1.011348268360087</v>
          </cell>
        </row>
        <row r="46">
          <cell r="J46" t="str">
            <v>2024-08-19</v>
          </cell>
          <cell r="K46">
            <v>2.335271198731579E-2</v>
          </cell>
        </row>
        <row r="47">
          <cell r="J47" t="str">
            <v>2024-08-19</v>
          </cell>
          <cell r="K47">
            <v>0.57523759813836151</v>
          </cell>
        </row>
        <row r="48">
          <cell r="J48" t="str">
            <v>2024-08-19</v>
          </cell>
          <cell r="K48">
            <v>0.88256340939810773</v>
          </cell>
        </row>
        <row r="49">
          <cell r="J49" t="str">
            <v>2024-08-19</v>
          </cell>
          <cell r="K49">
            <v>0.21728440241071326</v>
          </cell>
        </row>
        <row r="50">
          <cell r="J50" t="str">
            <v>2024-08-26</v>
          </cell>
          <cell r="K50">
            <v>0.35456226214689768</v>
          </cell>
        </row>
        <row r="51">
          <cell r="J51" t="str">
            <v>2024-08-26</v>
          </cell>
          <cell r="K51">
            <v>9.7527544941747053E-3</v>
          </cell>
        </row>
        <row r="52">
          <cell r="J52" t="str">
            <v>2024-08-26</v>
          </cell>
          <cell r="K52">
            <v>0.65914381026955704</v>
          </cell>
        </row>
        <row r="53">
          <cell r="J53" t="str">
            <v>2024-08-26</v>
          </cell>
          <cell r="K53">
            <v>1.1713324743561855E-2</v>
          </cell>
        </row>
        <row r="54">
          <cell r="J54" t="str">
            <v>2024-09-02</v>
          </cell>
          <cell r="K54">
            <v>1.2306082974775983</v>
          </cell>
        </row>
        <row r="55">
          <cell r="J55" t="str">
            <v>2024-09-02</v>
          </cell>
          <cell r="K55">
            <v>0.21026918479944948</v>
          </cell>
        </row>
        <row r="56">
          <cell r="J56" t="str">
            <v>2024-09-02</v>
          </cell>
          <cell r="K56">
            <v>6.1798299135137513E-2</v>
          </cell>
        </row>
        <row r="57">
          <cell r="J57" t="str">
            <v>2024-09-02</v>
          </cell>
          <cell r="K57">
            <v>8.9764429025449427E-2</v>
          </cell>
        </row>
        <row r="58">
          <cell r="J58" t="str">
            <v>2024-09-09</v>
          </cell>
          <cell r="K58">
            <v>0.41581361392816901</v>
          </cell>
        </row>
        <row r="59">
          <cell r="J59" t="str">
            <v>2024-09-09</v>
          </cell>
          <cell r="K59">
            <v>0.46435400163889645</v>
          </cell>
        </row>
        <row r="60">
          <cell r="J60" t="str">
            <v>2024-09-09</v>
          </cell>
          <cell r="K60">
            <v>5.990134708914012E-2</v>
          </cell>
        </row>
        <row r="61">
          <cell r="J61" t="str">
            <v>2024-09-09</v>
          </cell>
          <cell r="K61">
            <v>1.703234597339857</v>
          </cell>
        </row>
        <row r="62">
          <cell r="J62" t="str">
            <v>2024-09-16</v>
          </cell>
          <cell r="K62">
            <v>0.74222825979957874</v>
          </cell>
        </row>
        <row r="63">
          <cell r="J63" t="str">
            <v>2024-09-16</v>
          </cell>
          <cell r="K63">
            <v>2.0668041724136478E-2</v>
          </cell>
        </row>
        <row r="64">
          <cell r="J64" t="str">
            <v>2024-09-16</v>
          </cell>
          <cell r="K64">
            <v>0.2867301296020186</v>
          </cell>
        </row>
        <row r="65">
          <cell r="J65" t="str">
            <v>2024-09-16</v>
          </cell>
          <cell r="K65">
            <v>-2.6681341404439108E-2</v>
          </cell>
        </row>
        <row r="66">
          <cell r="J66" t="str">
            <v>2024-09-23</v>
          </cell>
          <cell r="K66">
            <v>0.15758651286601597</v>
          </cell>
        </row>
        <row r="67">
          <cell r="J67" t="str">
            <v>2024-09-23</v>
          </cell>
          <cell r="K67">
            <v>-7.924822629956663E-3</v>
          </cell>
        </row>
        <row r="68">
          <cell r="J68" t="str">
            <v>2024-09-23</v>
          </cell>
          <cell r="K68">
            <v>0.62566104068286432</v>
          </cell>
        </row>
        <row r="69">
          <cell r="J69" t="str">
            <v>2024-09-23</v>
          </cell>
          <cell r="K69">
            <v>1.592351646960128</v>
          </cell>
        </row>
        <row r="70">
          <cell r="J70" t="str">
            <v>2024-09-30</v>
          </cell>
          <cell r="K70">
            <v>0.27682576721248608</v>
          </cell>
        </row>
        <row r="71">
          <cell r="J71" t="str">
            <v>2024-09-30</v>
          </cell>
          <cell r="K71">
            <v>-3.9477485703195474E-2</v>
          </cell>
        </row>
        <row r="72">
          <cell r="J72" t="str">
            <v>2024-09-30</v>
          </cell>
          <cell r="K72">
            <v>0.92287307798970819</v>
          </cell>
        </row>
        <row r="73">
          <cell r="J73" t="str">
            <v>2024-09-30</v>
          </cell>
          <cell r="K73">
            <v>1.8079694785926241</v>
          </cell>
        </row>
        <row r="74">
          <cell r="J74" t="str">
            <v>2024-10-07</v>
          </cell>
          <cell r="K74">
            <v>1.000090820213374</v>
          </cell>
        </row>
        <row r="75">
          <cell r="J75" t="str">
            <v>2024-10-07</v>
          </cell>
          <cell r="K75">
            <v>0.43810281972675247</v>
          </cell>
        </row>
        <row r="76">
          <cell r="J76" t="str">
            <v>2024-10-07</v>
          </cell>
          <cell r="K76">
            <v>2.2456063766826309E-2</v>
          </cell>
        </row>
        <row r="77">
          <cell r="J77" t="str">
            <v>2024-10-07</v>
          </cell>
          <cell r="K77">
            <v>0.10019784829366461</v>
          </cell>
        </row>
        <row r="78">
          <cell r="J78" t="str">
            <v>2024-10-14</v>
          </cell>
          <cell r="K78">
            <v>0.31501331857780751</v>
          </cell>
        </row>
        <row r="79">
          <cell r="J79" t="str">
            <v>2024-10-14</v>
          </cell>
          <cell r="K79">
            <v>0.18083871090552606</v>
          </cell>
        </row>
        <row r="80">
          <cell r="J80" t="str">
            <v>2024-10-14</v>
          </cell>
          <cell r="K80">
            <v>-6.4563614529395824E-3</v>
          </cell>
        </row>
        <row r="81">
          <cell r="J81" t="str">
            <v>2024-10-14</v>
          </cell>
          <cell r="K81">
            <v>0.18425729749269498</v>
          </cell>
        </row>
        <row r="82">
          <cell r="J82" t="str">
            <v>2024-10-21</v>
          </cell>
          <cell r="K82">
            <v>7.3371064356504964E-2</v>
          </cell>
        </row>
        <row r="83">
          <cell r="J83" t="str">
            <v>2024-10-21</v>
          </cell>
          <cell r="K83">
            <v>1.8687212668142346</v>
          </cell>
        </row>
        <row r="84">
          <cell r="J84" t="str">
            <v>2024-10-21</v>
          </cell>
          <cell r="K84">
            <v>0.24623771231227276</v>
          </cell>
        </row>
        <row r="85">
          <cell r="J85" t="str">
            <v>2024-10-21</v>
          </cell>
          <cell r="K85">
            <v>0.57763419096181545</v>
          </cell>
        </row>
        <row r="86">
          <cell r="J86" t="str">
            <v>2024-10-28</v>
          </cell>
          <cell r="K86">
            <v>0.166223212379012</v>
          </cell>
        </row>
        <row r="87">
          <cell r="J87" t="str">
            <v>2024-10-28</v>
          </cell>
          <cell r="K87">
            <v>0.18382090319876945</v>
          </cell>
        </row>
        <row r="88">
          <cell r="J88" t="str">
            <v>2024-10-28</v>
          </cell>
          <cell r="K88">
            <v>1.5381417584701726E-2</v>
          </cell>
        </row>
        <row r="89">
          <cell r="J89" t="str">
            <v>2024-10-28</v>
          </cell>
          <cell r="K89">
            <v>0.54180958515762179</v>
          </cell>
        </row>
        <row r="90">
          <cell r="J90" t="str">
            <v>2024-11-04</v>
          </cell>
          <cell r="K90">
            <v>2.5430053699827071</v>
          </cell>
        </row>
        <row r="91">
          <cell r="J91" t="str">
            <v>2024-11-04</v>
          </cell>
          <cell r="K91">
            <v>0.16918035252172714</v>
          </cell>
        </row>
        <row r="92">
          <cell r="J92" t="str">
            <v>2024-11-04</v>
          </cell>
          <cell r="K92">
            <v>0.36508153411678962</v>
          </cell>
        </row>
        <row r="93">
          <cell r="J93" t="str">
            <v>2024-11-04</v>
          </cell>
          <cell r="K93">
            <v>0.40317597627286211</v>
          </cell>
        </row>
        <row r="94">
          <cell r="J94" t="str">
            <v>2024-11-11</v>
          </cell>
          <cell r="K94">
            <v>1.7550345364335054</v>
          </cell>
        </row>
        <row r="95">
          <cell r="J95" t="str">
            <v>2024-11-11</v>
          </cell>
          <cell r="K95">
            <v>-3.4250669665215859E-2</v>
          </cell>
        </row>
        <row r="96">
          <cell r="J96" t="str">
            <v>2024-11-11</v>
          </cell>
          <cell r="K96">
            <v>1.3172212358971422</v>
          </cell>
        </row>
        <row r="97">
          <cell r="J97" t="str">
            <v>2024-11-11</v>
          </cell>
          <cell r="K97">
            <v>0.28821299683708945</v>
          </cell>
        </row>
        <row r="98">
          <cell r="J98" t="str">
            <v>2024-11-18</v>
          </cell>
          <cell r="K98">
            <v>-9.5914811987394058E-2</v>
          </cell>
        </row>
        <row r="99">
          <cell r="J99" t="str">
            <v>2024-11-18</v>
          </cell>
          <cell r="K99">
            <v>2.124852809675163E-2</v>
          </cell>
        </row>
        <row r="100">
          <cell r="J100" t="str">
            <v>2024-11-18</v>
          </cell>
          <cell r="K100">
            <v>9.1277744844858608E-2</v>
          </cell>
        </row>
        <row r="101">
          <cell r="J101" t="str">
            <v>2024-11-18</v>
          </cell>
          <cell r="K101">
            <v>1.9887634863023914E-2</v>
          </cell>
        </row>
        <row r="102">
          <cell r="J102" t="str">
            <v>2024-11-25</v>
          </cell>
          <cell r="K102">
            <v>0.59936417126309005</v>
          </cell>
        </row>
        <row r="103">
          <cell r="J103" t="str">
            <v>2024-11-25</v>
          </cell>
          <cell r="K103">
            <v>0.39565022381564841</v>
          </cell>
        </row>
        <row r="104">
          <cell r="J104" t="str">
            <v>2024-11-25</v>
          </cell>
          <cell r="K104">
            <v>0.11079079758069074</v>
          </cell>
        </row>
        <row r="105">
          <cell r="J105" t="str">
            <v>2024-11-25</v>
          </cell>
          <cell r="K105">
            <v>1.4152074838090669</v>
          </cell>
        </row>
        <row r="106">
          <cell r="J106" t="str">
            <v>2024-12-02</v>
          </cell>
          <cell r="K106">
            <v>0.38511033114748661</v>
          </cell>
        </row>
        <row r="107">
          <cell r="J107" t="str">
            <v>2024-12-02</v>
          </cell>
          <cell r="K107">
            <v>0.36277109484146308</v>
          </cell>
        </row>
        <row r="108">
          <cell r="J108" t="str">
            <v>2024-12-02</v>
          </cell>
          <cell r="K108">
            <v>0.37850431101244258</v>
          </cell>
        </row>
        <row r="109">
          <cell r="J109" t="str">
            <v>2024-12-02</v>
          </cell>
          <cell r="K109">
            <v>0.13151115811166245</v>
          </cell>
        </row>
        <row r="110">
          <cell r="J110" t="str">
            <v>2024-12-09</v>
          </cell>
          <cell r="K110">
            <v>0.5072161583928636</v>
          </cell>
        </row>
        <row r="111">
          <cell r="J111" t="str">
            <v>2024-12-09</v>
          </cell>
          <cell r="K111">
            <v>3.8307014117515763</v>
          </cell>
        </row>
        <row r="112">
          <cell r="J112" t="str">
            <v>2024-12-09</v>
          </cell>
          <cell r="K112">
            <v>8.3806473528412688</v>
          </cell>
        </row>
        <row r="113">
          <cell r="J113" t="str">
            <v>2024-12-09</v>
          </cell>
          <cell r="K113">
            <v>0.12679964770499277</v>
          </cell>
        </row>
        <row r="114">
          <cell r="J114" t="str">
            <v>2024-12-16</v>
          </cell>
          <cell r="K114">
            <v>0.30759118725472717</v>
          </cell>
        </row>
        <row r="115">
          <cell r="J115" t="str">
            <v>2024-12-16</v>
          </cell>
          <cell r="K115">
            <v>0.33115688467227011</v>
          </cell>
        </row>
        <row r="116">
          <cell r="J116" t="str">
            <v>2024-12-16</v>
          </cell>
          <cell r="K116">
            <v>0.41536387893013998</v>
          </cell>
        </row>
        <row r="117">
          <cell r="J117" t="str">
            <v>2024-12-16</v>
          </cell>
          <cell r="K117">
            <v>0.17917737946946316</v>
          </cell>
        </row>
        <row r="118">
          <cell r="J118" t="str">
            <v>2024-12-23</v>
          </cell>
          <cell r="K118">
            <v>0.24359408109118752</v>
          </cell>
        </row>
        <row r="119">
          <cell r="J119" t="str">
            <v>2024-12-23</v>
          </cell>
          <cell r="K119">
            <v>0.78202834584935776</v>
          </cell>
        </row>
        <row r="120">
          <cell r="J120" t="str">
            <v>2024-12-23</v>
          </cell>
          <cell r="K120">
            <v>1.123041457611657</v>
          </cell>
        </row>
        <row r="121">
          <cell r="J121" t="str">
            <v>2024-12-23</v>
          </cell>
          <cell r="K121">
            <v>6.3113158835445047</v>
          </cell>
        </row>
        <row r="122">
          <cell r="J122" t="str">
            <v>2024-12-30</v>
          </cell>
          <cell r="K122">
            <v>1.2535155251271271</v>
          </cell>
        </row>
        <row r="123">
          <cell r="J123" t="str">
            <v>2024-12-30</v>
          </cell>
          <cell r="K123">
            <v>0.46806929323118035</v>
          </cell>
        </row>
        <row r="124">
          <cell r="J124" t="str">
            <v>2024-12-30</v>
          </cell>
          <cell r="K124">
            <v>0.55634189738421069</v>
          </cell>
        </row>
        <row r="125">
          <cell r="J125" t="str">
            <v>2024-12-30</v>
          </cell>
          <cell r="K125">
            <v>1.0669005078738718</v>
          </cell>
        </row>
        <row r="126">
          <cell r="J126" t="str">
            <v>2025-01-06</v>
          </cell>
          <cell r="K126">
            <v>0.19361810704529764</v>
          </cell>
        </row>
        <row r="127">
          <cell r="J127" t="str">
            <v>2025-01-06</v>
          </cell>
          <cell r="K127">
            <v>0.64766839378238339</v>
          </cell>
        </row>
        <row r="128">
          <cell r="J128" t="str">
            <v>2025-01-06</v>
          </cell>
          <cell r="K128">
            <v>0.32008104408927779</v>
          </cell>
        </row>
        <row r="129">
          <cell r="J129" t="str">
            <v>2025-01-06</v>
          </cell>
          <cell r="K129">
            <v>0.88669950738916259</v>
          </cell>
        </row>
        <row r="130">
          <cell r="J130" t="str">
            <v>2025-01-13</v>
          </cell>
          <cell r="K130">
            <v>0.49282654051223052</v>
          </cell>
        </row>
        <row r="131">
          <cell r="J131" t="str">
            <v>2025-01-13</v>
          </cell>
          <cell r="K131">
            <v>0.13262186302564766</v>
          </cell>
        </row>
        <row r="132">
          <cell r="J132" t="str">
            <v>2025-01-13</v>
          </cell>
          <cell r="K132">
            <v>-2.9514486693885584E-2</v>
          </cell>
        </row>
        <row r="133">
          <cell r="J133" t="str">
            <v>2025-01-13</v>
          </cell>
          <cell r="K133">
            <v>6.2409087760615085</v>
          </cell>
        </row>
        <row r="134">
          <cell r="J134" t="str">
            <v>2025-01-20</v>
          </cell>
          <cell r="K134">
            <v>0.40971536250166152</v>
          </cell>
        </row>
        <row r="135">
          <cell r="J135" t="str">
            <v>2025-01-20</v>
          </cell>
          <cell r="K135">
            <v>8.905295209493419E-2</v>
          </cell>
        </row>
        <row r="136">
          <cell r="J136" t="str">
            <v>2025-01-20</v>
          </cell>
          <cell r="K136">
            <v>0.71621491270377158</v>
          </cell>
        </row>
        <row r="137">
          <cell r="J137" t="str">
            <v>2025-01-20</v>
          </cell>
          <cell r="K137">
            <v>0.2148693125665902</v>
          </cell>
        </row>
        <row r="138">
          <cell r="J138" t="str">
            <v>2025-01-27</v>
          </cell>
          <cell r="K138">
            <v>-4.6464109274628081E-2</v>
          </cell>
        </row>
        <row r="139">
          <cell r="J139" t="str">
            <v>2025-01-27</v>
          </cell>
          <cell r="K139">
            <v>0.27948348464241363</v>
          </cell>
        </row>
        <row r="140">
          <cell r="J140" t="str">
            <v>2025-01-27</v>
          </cell>
          <cell r="K140">
            <v>0.54309533874905258</v>
          </cell>
        </row>
        <row r="141">
          <cell r="J141" t="str">
            <v>2025-01-27</v>
          </cell>
          <cell r="K141">
            <v>0.26534161921203286</v>
          </cell>
        </row>
        <row r="142">
          <cell r="J142" t="str">
            <v>2025-02-03</v>
          </cell>
          <cell r="K142">
            <v>0.30720567989168157</v>
          </cell>
        </row>
        <row r="143">
          <cell r="J143" t="str">
            <v>2025-02-03</v>
          </cell>
          <cell r="K143">
            <v>0.5500525785553031</v>
          </cell>
        </row>
        <row r="144">
          <cell r="J144" t="str">
            <v>2025-02-03</v>
          </cell>
          <cell r="K144">
            <v>0.32046588643454949</v>
          </cell>
        </row>
        <row r="145">
          <cell r="J145" t="str">
            <v>2025-02-03</v>
          </cell>
          <cell r="K145">
            <v>-7.4972485467156139E-2</v>
          </cell>
        </row>
        <row r="146">
          <cell r="J146" t="str">
            <v>2025-02-10</v>
          </cell>
          <cell r="K146">
            <v>0.77568587198256844</v>
          </cell>
        </row>
        <row r="147">
          <cell r="J147" t="str">
            <v>2025-02-10</v>
          </cell>
          <cell r="K147">
            <v>0.29427518601934727</v>
          </cell>
        </row>
        <row r="148">
          <cell r="J148" t="str">
            <v>2025-02-10</v>
          </cell>
          <cell r="K148">
            <v>0.94958208908059605</v>
          </cell>
        </row>
        <row r="149">
          <cell r="J149" t="str">
            <v>2025-02-10</v>
          </cell>
          <cell r="K149">
            <v>0.29756017144741181</v>
          </cell>
        </row>
        <row r="150">
          <cell r="J150" t="str">
            <v>2025-02-17</v>
          </cell>
          <cell r="K150">
            <v>0.21291007252180397</v>
          </cell>
        </row>
        <row r="151">
          <cell r="J151" t="str">
            <v>2025-02-17</v>
          </cell>
          <cell r="K151">
            <v>1.5147617822744293</v>
          </cell>
        </row>
        <row r="152">
          <cell r="J152" t="str">
            <v>2025-02-17</v>
          </cell>
          <cell r="K152">
            <v>-2.5410691720235155E-2</v>
          </cell>
        </row>
        <row r="153">
          <cell r="J153" t="str">
            <v>2025-02-17</v>
          </cell>
          <cell r="K153">
            <v>1.1086997546706925</v>
          </cell>
        </row>
        <row r="154">
          <cell r="J154" t="str">
            <v>2025-02-24</v>
          </cell>
          <cell r="K154">
            <v>1.08675033985647</v>
          </cell>
        </row>
        <row r="155">
          <cell r="J155" t="str">
            <v>2025-02-24</v>
          </cell>
          <cell r="K155">
            <v>0.74073109768798173</v>
          </cell>
        </row>
        <row r="156">
          <cell r="J156" t="str">
            <v>2025-02-24</v>
          </cell>
          <cell r="K156">
            <v>0.22333891680625351</v>
          </cell>
        </row>
        <row r="157">
          <cell r="J157" t="str">
            <v>2025-02-24</v>
          </cell>
          <cell r="K157">
            <v>0.21885278918832757</v>
          </cell>
        </row>
        <row r="158">
          <cell r="J158" t="str">
            <v>2025-03-03</v>
          </cell>
          <cell r="K158">
            <v>0.51052298518124528</v>
          </cell>
        </row>
        <row r="159">
          <cell r="J159" t="str">
            <v>2025-03-03</v>
          </cell>
          <cell r="K159">
            <v>-3.2435585380545737E-2</v>
          </cell>
        </row>
        <row r="160">
          <cell r="J160" t="str">
            <v>2025-03-03</v>
          </cell>
          <cell r="K160">
            <v>0.19268070513850935</v>
          </cell>
        </row>
        <row r="161">
          <cell r="J161" t="str">
            <v>2025-03-03</v>
          </cell>
          <cell r="K161">
            <v>0.14029055733207443</v>
          </cell>
        </row>
        <row r="162">
          <cell r="J162" t="str">
            <v>2025-03-10</v>
          </cell>
          <cell r="K162">
            <v>4.5873346287504703E-2</v>
          </cell>
        </row>
        <row r="163">
          <cell r="J163" t="str">
            <v>2025-03-10</v>
          </cell>
          <cell r="K163">
            <v>0.26639909400836753</v>
          </cell>
        </row>
        <row r="164">
          <cell r="J164" t="str">
            <v>2025-03-10</v>
          </cell>
          <cell r="K164">
            <v>10.825114265095021</v>
          </cell>
        </row>
        <row r="165">
          <cell r="J165" t="str">
            <v>2025-03-10</v>
          </cell>
          <cell r="K165">
            <v>1.2622336046830696</v>
          </cell>
        </row>
        <row r="166">
          <cell r="J166" t="str">
            <v>2025-03-17</v>
          </cell>
          <cell r="K166">
            <v>0.16572027392586453</v>
          </cell>
        </row>
        <row r="167">
          <cell r="J167" t="str">
            <v>2025-03-17</v>
          </cell>
          <cell r="K167">
            <v>0.32619275185675578</v>
          </cell>
        </row>
        <row r="168">
          <cell r="J168" t="str">
            <v>2025-03-17</v>
          </cell>
          <cell r="K168">
            <v>6.9173294769824052</v>
          </cell>
        </row>
        <row r="169">
          <cell r="J169" t="str">
            <v>2025-03-17</v>
          </cell>
          <cell r="K169">
            <v>7.9689298043728432</v>
          </cell>
        </row>
        <row r="170">
          <cell r="J170" t="str">
            <v>2025-03-24</v>
          </cell>
          <cell r="K170">
            <v>0.12636715002329982</v>
          </cell>
        </row>
        <row r="171">
          <cell r="J171" t="str">
            <v>2025-03-24</v>
          </cell>
          <cell r="K171">
            <v>0.1268716241173857</v>
          </cell>
        </row>
        <row r="172">
          <cell r="J172" t="str">
            <v>2025-03-24</v>
          </cell>
          <cell r="K172">
            <v>0.13832962243592781</v>
          </cell>
        </row>
        <row r="173">
          <cell r="J173" t="str">
            <v>2025-03-24</v>
          </cell>
          <cell r="K173">
            <v>8.8022790888170319E-2</v>
          </cell>
        </row>
        <row r="174">
          <cell r="J174" t="str">
            <v>2025-03-31</v>
          </cell>
          <cell r="K174">
            <v>0.22667798288422092</v>
          </cell>
        </row>
        <row r="175">
          <cell r="J175" t="str">
            <v>2025-03-31</v>
          </cell>
          <cell r="K175">
            <v>0.13889264193260734</v>
          </cell>
        </row>
        <row r="176">
          <cell r="J176" t="str">
            <v>2025-03-31</v>
          </cell>
          <cell r="K176">
            <v>0.84497101083942527</v>
          </cell>
        </row>
        <row r="177">
          <cell r="J177" t="str">
            <v>2025-03-31</v>
          </cell>
          <cell r="K177">
            <v>0.33667947287974553</v>
          </cell>
        </row>
        <row r="178">
          <cell r="J178" t="str">
            <v>2025-04-07</v>
          </cell>
          <cell r="K178">
            <v>0.21195852212872357</v>
          </cell>
        </row>
        <row r="179">
          <cell r="J179" t="str">
            <v>2025-04-07</v>
          </cell>
          <cell r="K179">
            <v>1.0436528865268369</v>
          </cell>
        </row>
        <row r="180">
          <cell r="J180" t="str">
            <v>2025-04-07</v>
          </cell>
          <cell r="K180">
            <v>3.4032917638311533</v>
          </cell>
        </row>
        <row r="181">
          <cell r="J181" t="str">
            <v>2025-04-07</v>
          </cell>
          <cell r="K181">
            <v>7.1981098934404214E-2</v>
          </cell>
        </row>
        <row r="182">
          <cell r="J182" t="str">
            <v>2025-04-14</v>
          </cell>
          <cell r="K182">
            <v>-0.2399448126930806</v>
          </cell>
        </row>
        <row r="183">
          <cell r="J183" t="str">
            <v>2025-04-14</v>
          </cell>
          <cell r="K183">
            <v>-0.24750024750024749</v>
          </cell>
        </row>
        <row r="184">
          <cell r="J184" t="str">
            <v>2025-04-14</v>
          </cell>
          <cell r="K184">
            <v>3.7191155522184875E-2</v>
          </cell>
        </row>
        <row r="185">
          <cell r="J185" t="str">
            <v>2025-04-14</v>
          </cell>
          <cell r="K185">
            <v>3.9239564305527365E-2</v>
          </cell>
        </row>
        <row r="186">
          <cell r="J186" t="str">
            <v>2025-04-21</v>
          </cell>
          <cell r="K186">
            <v>0.95802484827301337</v>
          </cell>
        </row>
        <row r="187">
          <cell r="J187" t="str">
            <v>2025-04-21</v>
          </cell>
          <cell r="K187">
            <v>0.27690774864725926</v>
          </cell>
        </row>
        <row r="188">
          <cell r="J188" t="str">
            <v>2025-04-21</v>
          </cell>
          <cell r="K188">
            <v>0.22734693021737243</v>
          </cell>
        </row>
        <row r="189">
          <cell r="J189" t="str">
            <v>2025-04-21</v>
          </cell>
          <cell r="K189">
            <v>0.60267642955734835</v>
          </cell>
        </row>
        <row r="190">
          <cell r="J190" t="str">
            <v>2025-04-28</v>
          </cell>
          <cell r="K190">
            <v>0.34511059684624079</v>
          </cell>
        </row>
        <row r="191">
          <cell r="J191" t="str">
            <v>2025-04-28</v>
          </cell>
          <cell r="K191">
            <v>0.2014855668727483</v>
          </cell>
        </row>
        <row r="192">
          <cell r="J192" t="str">
            <v>2025-04-28</v>
          </cell>
          <cell r="K192">
            <v>0.19454574184929271</v>
          </cell>
        </row>
        <row r="193">
          <cell r="J193" t="str">
            <v>2025-04-28</v>
          </cell>
          <cell r="K193">
            <v>5.5706165282028861</v>
          </cell>
        </row>
        <row r="194">
          <cell r="J194" t="str">
            <v>2025-05-05</v>
          </cell>
          <cell r="K194">
            <v>0.41995793722733987</v>
          </cell>
        </row>
        <row r="195">
          <cell r="J195" t="str">
            <v>2025-05-05</v>
          </cell>
          <cell r="K195">
            <v>8.0965664826031306E-2</v>
          </cell>
        </row>
        <row r="196">
          <cell r="J196" t="str">
            <v>2025-05-05</v>
          </cell>
          <cell r="K196">
            <v>0.311749015203442</v>
          </cell>
        </row>
        <row r="197">
          <cell r="J197" t="str">
            <v>2025-05-05</v>
          </cell>
          <cell r="K197">
            <v>0.58190830903102841</v>
          </cell>
        </row>
        <row r="198">
          <cell r="J198" t="str">
            <v>2025-05-12</v>
          </cell>
          <cell r="K198">
            <v>0.35361871958419905</v>
          </cell>
        </row>
        <row r="199">
          <cell r="J199" t="str">
            <v>2025-05-12</v>
          </cell>
          <cell r="K199">
            <v>0.11156186612576065</v>
          </cell>
        </row>
        <row r="200">
          <cell r="J200" t="str">
            <v>2025-05-12</v>
          </cell>
          <cell r="K200">
            <v>5.8952701962314107E-2</v>
          </cell>
        </row>
        <row r="201">
          <cell r="J201" t="str">
            <v>2025-05-12</v>
          </cell>
          <cell r="K201">
            <v>-0.4081978730104896</v>
          </cell>
        </row>
      </sheetData>
      <sheetData sheetId="4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dip Dutta" id="{D360B772-6FD2-41AE-B4D8-D0A7B197400A}" userId="cd2b29b38d22837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38.02887303241" createdVersion="8" refreshedVersion="8" minRefreshableVersion="3" recordCount="300" xr:uid="{B6A02483-36AC-4A19-BF7E-51FFDF3E1177}">
  <cacheSource type="worksheet">
    <worksheetSource ref="J2:J9" sheet="Posts"/>
  </cacheSource>
  <cacheFields count="17">
    <cacheField name="Post ID" numFmtId="0">
      <sharedItems count="300">
        <s v="P061"/>
        <s v="P144"/>
        <s v="P164"/>
        <s v="P261"/>
        <s v="P244"/>
        <s v="P215"/>
        <s v="P106"/>
        <s v="P161"/>
        <s v="P228"/>
        <s v="P279"/>
        <s v="P288"/>
        <s v="P229"/>
        <s v="P217"/>
        <s v="P107"/>
        <s v="P131"/>
        <s v="P167"/>
        <s v="P152"/>
        <s v="P272"/>
        <s v="P021"/>
        <s v="P197"/>
        <s v="P101"/>
        <s v="P191"/>
        <s v="P278"/>
        <s v="P238"/>
        <s v="P150"/>
        <s v="P118"/>
        <s v="P067"/>
        <s v="P097"/>
        <s v="P241"/>
        <s v="P280"/>
        <s v="P260"/>
        <s v="P040"/>
        <s v="P193"/>
        <s v="P242"/>
        <s v="P108"/>
        <s v="P300"/>
        <s v="P239"/>
        <s v="P277"/>
        <s v="P182"/>
        <s v="P163"/>
        <s v="P010"/>
        <s v="P036"/>
        <s v="P294"/>
        <s v="P114"/>
        <s v="P092"/>
        <s v="P157"/>
        <s v="P123"/>
        <s v="P194"/>
        <s v="P266"/>
        <s v="P245"/>
        <s v="P269"/>
        <s v="P298"/>
        <s v="P073"/>
        <s v="P291"/>
        <s v="P225"/>
        <s v="P113"/>
        <s v="P017"/>
        <s v="P250"/>
        <s v="P268"/>
        <s v="P009"/>
        <s v="P221"/>
        <s v="P002"/>
        <s v="P014"/>
        <s v="P148"/>
        <s v="P090"/>
        <s v="P020"/>
        <s v="P135"/>
        <s v="P207"/>
        <s v="P125"/>
        <s v="P285"/>
        <s v="P243"/>
        <s v="P179"/>
        <s v="P024"/>
        <s v="P237"/>
        <s v="P099"/>
        <s v="P085"/>
        <s v="P205"/>
        <s v="P212"/>
        <s v="P156"/>
        <s v="P110"/>
        <s v="P185"/>
        <s v="P063"/>
        <s v="P186"/>
        <s v="P005"/>
        <s v="P170"/>
        <s v="P015"/>
        <s v="P253"/>
        <s v="P126"/>
        <s v="P127"/>
        <s v="P255"/>
        <s v="P235"/>
        <s v="P104"/>
        <s v="P008"/>
        <s v="P136"/>
        <s v="P271"/>
        <s v="P122"/>
        <s v="P200"/>
        <s v="P141"/>
        <s v="P189"/>
        <s v="P184"/>
        <s v="P258"/>
        <s v="P039"/>
        <s v="P180"/>
        <s v="P116"/>
        <s v="P007"/>
        <s v="P037"/>
        <s v="P267"/>
        <s v="P169"/>
        <s v="P109"/>
        <s v="P247"/>
        <s v="P006"/>
        <s v="P174"/>
        <s v="P016"/>
        <s v="P274"/>
        <s v="P162"/>
        <s v="P203"/>
        <s v="P176"/>
        <s v="P270"/>
        <s v="P103"/>
        <s v="P035"/>
        <s v="P134"/>
        <s v="P147"/>
        <s v="P146"/>
        <s v="P230"/>
        <s v="P177"/>
        <s v="P286"/>
        <s v="P257"/>
        <s v="P273"/>
        <s v="P151"/>
        <s v="P095"/>
        <s v="P208"/>
        <s v="P086"/>
        <s v="P056"/>
        <s v="P045"/>
        <s v="P172"/>
        <s v="P026"/>
        <s v="P213"/>
        <s v="P223"/>
        <s v="P283"/>
        <s v="P018"/>
        <s v="P071"/>
        <s v="P209"/>
        <s v="P057"/>
        <s v="P047"/>
        <s v="P293"/>
        <s v="P281"/>
        <s v="P038"/>
        <s v="P064"/>
        <s v="P025"/>
        <s v="P079"/>
        <s v="P263"/>
        <s v="P165"/>
        <s v="P128"/>
        <s v="P044"/>
        <s v="P188"/>
        <s v="P296"/>
        <s v="P130"/>
        <s v="P204"/>
        <s v="P168"/>
        <s v="P299"/>
        <s v="P289"/>
        <s v="P030"/>
        <s v="P137"/>
        <s v="P119"/>
        <s v="P094"/>
        <s v="P139"/>
        <s v="P080"/>
        <s v="P112"/>
        <s v="P054"/>
        <s v="P084"/>
        <s v="P068"/>
        <s v="P111"/>
        <s v="P012"/>
        <s v="P290"/>
        <s v="P199"/>
        <s v="P049"/>
        <s v="P050"/>
        <s v="P129"/>
        <s v="P003"/>
        <s v="P051"/>
        <s v="P275"/>
        <s v="P004"/>
        <s v="P011"/>
        <s v="P132"/>
        <s v="P254"/>
        <s v="P140"/>
        <s v="P043"/>
        <s v="P265"/>
        <s v="P098"/>
        <s v="P059"/>
        <s v="P222"/>
        <s v="P218"/>
        <s v="P233"/>
        <s v="P159"/>
        <s v="P142"/>
        <s v="P048"/>
        <s v="P029"/>
        <s v="P087"/>
        <s v="P042"/>
        <s v="P133"/>
        <s v="P075"/>
        <s v="P297"/>
        <s v="P115"/>
        <s v="P252"/>
        <s v="P149"/>
        <s v="P155"/>
        <s v="P089"/>
        <s v="P032"/>
        <s v="P158"/>
        <s v="P295"/>
        <s v="P251"/>
        <s v="P196"/>
        <s v="P065"/>
        <s v="P023"/>
        <s v="P117"/>
        <s v="P202"/>
        <s v="P069"/>
        <s v="P093"/>
        <s v="P027"/>
        <s v="P211"/>
        <s v="P256"/>
        <s v="P187"/>
        <s v="P173"/>
        <s v="P100"/>
        <s v="P074"/>
        <s v="P226"/>
        <s v="P154"/>
        <s v="P190"/>
        <s v="P033"/>
        <s v="P102"/>
        <s v="P145"/>
        <s v="P287"/>
        <s v="P034"/>
        <s v="P282"/>
        <s v="P096"/>
        <s v="P192"/>
        <s v="P022"/>
        <s v="P091"/>
        <s v="P120"/>
        <s v="P001"/>
        <s v="P060"/>
        <s v="P081"/>
        <s v="P276"/>
        <s v="P198"/>
        <s v="P181"/>
        <s v="P231"/>
        <s v="P234"/>
        <s v="P219"/>
        <s v="P171"/>
        <s v="P077"/>
        <s v="P160"/>
        <s v="P216"/>
        <s v="P124"/>
        <s v="P166"/>
        <s v="P013"/>
        <s v="P052"/>
        <s v="P236"/>
        <s v="P195"/>
        <s v="P210"/>
        <s v="P019"/>
        <s v="P121"/>
        <s v="P083"/>
        <s v="P214"/>
        <s v="P078"/>
        <s v="P292"/>
        <s v="P206"/>
        <s v="P246"/>
        <s v="P041"/>
        <s v="P046"/>
        <s v="P053"/>
        <s v="P262"/>
        <s v="P240"/>
        <s v="P070"/>
        <s v="P055"/>
        <s v="P224"/>
        <s v="P183"/>
        <s v="P201"/>
        <s v="P249"/>
        <s v="P076"/>
        <s v="P082"/>
        <s v="P153"/>
        <s v="P028"/>
        <s v="P248"/>
        <s v="P284"/>
        <s v="P175"/>
        <s v="P232"/>
        <s v="P220"/>
        <s v="P178"/>
        <s v="P058"/>
        <s v="P066"/>
        <s v="P259"/>
        <s v="P031"/>
        <s v="P088"/>
        <s v="P138"/>
        <s v="P105"/>
        <s v="P227"/>
        <s v="P143"/>
        <s v="P062"/>
        <s v="P072"/>
        <s v="P264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0">
      <sharedItems count="6">
        <s v="Video"/>
        <s v="Story"/>
        <s v="Text"/>
        <s v="Image"/>
        <s v="Carousel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 count="259">
        <n v="983"/>
        <n v="749"/>
        <n v="971"/>
        <n v="837"/>
        <n v="935"/>
        <n v="925"/>
        <n v="821"/>
        <n v="876"/>
        <n v="772"/>
        <n v="845"/>
        <n v="691"/>
        <n v="694"/>
        <n v="931"/>
        <n v="893"/>
        <n v="658"/>
        <n v="818"/>
        <n v="550"/>
        <n v="414"/>
        <n v="640"/>
        <n v="721"/>
        <n v="886"/>
        <n v="836"/>
        <n v="400"/>
        <n v="853"/>
        <n v="714"/>
        <n v="568"/>
        <n v="527"/>
        <n v="874"/>
        <n v="680"/>
        <n v="771"/>
        <n v="151"/>
        <n v="317"/>
        <n v="190"/>
        <n v="871"/>
        <n v="717"/>
        <n v="942"/>
        <n v="711"/>
        <n v="134"/>
        <n v="375"/>
        <n v="902"/>
        <n v="285"/>
        <n v="173"/>
        <n v="689"/>
        <n v="967"/>
        <n v="649"/>
        <n v="824"/>
        <n v="51"/>
        <n v="451"/>
        <n v="426"/>
        <n v="145"/>
        <n v="325"/>
        <n v="236"/>
        <n v="511"/>
        <n v="125"/>
        <n v="808"/>
        <n v="111"/>
        <n v="389"/>
        <n v="555"/>
        <n v="466"/>
        <n v="960"/>
        <n v="488"/>
        <n v="253"/>
        <n v="340"/>
        <n v="866"/>
        <n v="794"/>
        <n v="911"/>
        <n v="667"/>
        <n v="761"/>
        <n v="917"/>
        <n v="548"/>
        <n v="569"/>
        <n v="697"/>
        <n v="884"/>
        <n v="941"/>
        <n v="753"/>
        <n v="61"/>
        <n v="217"/>
        <n v="687"/>
        <n v="596"/>
        <n v="604"/>
        <n v="593"/>
        <n v="167"/>
        <n v="652"/>
        <n v="514"/>
        <n v="262"/>
        <n v="888"/>
        <n v="869"/>
        <n v="385"/>
        <n v="857"/>
        <n v="525"/>
        <n v="695"/>
        <n v="629"/>
        <n v="352"/>
        <n v="186"/>
        <n v="201"/>
        <n v="66"/>
        <n v="273"/>
        <n v="215"/>
        <n v="266"/>
        <n v="930"/>
        <n v="148"/>
        <n v="377"/>
        <n v="494"/>
        <n v="566"/>
        <n v="299"/>
        <n v="31"/>
        <n v="239"/>
        <n v="48"/>
        <n v="16"/>
        <n v="115"/>
        <n v="459"/>
        <n v="17"/>
        <n v="344"/>
        <n v="226"/>
        <n v="59"/>
        <n v="559"/>
        <n v="476"/>
        <n v="305"/>
        <n v="498"/>
        <n v="106"/>
        <n v="553"/>
        <n v="413"/>
        <n v="628"/>
        <n v="277"/>
        <n v="302"/>
        <n v="382"/>
        <n v="915"/>
        <n v="204"/>
        <n v="535"/>
        <n v="752"/>
        <n v="726"/>
        <n v="90"/>
        <n v="123"/>
        <n v="248"/>
        <n v="211"/>
        <n v="137"/>
        <n v="690"/>
        <n v="43"/>
        <n v="784"/>
        <n v="533"/>
        <n v="13"/>
        <n v="439"/>
        <n v="653"/>
        <n v="754"/>
        <n v="517"/>
        <n v="33"/>
        <n v="39"/>
        <n v="94"/>
        <n v="675"/>
        <n v="304"/>
        <n v="156"/>
        <n v="892"/>
        <n v="877"/>
        <n v="904"/>
        <n v="851"/>
        <n v="126"/>
        <n v="686"/>
        <n v="324"/>
        <n v="549"/>
        <n v="130"/>
        <n v="430"/>
        <n v="105"/>
        <n v="504"/>
        <n v="831"/>
        <n v="363"/>
        <n v="614"/>
        <n v="842"/>
        <n v="78"/>
        <n v="745"/>
        <n v="263"/>
        <n v="453"/>
        <n v="265"/>
        <n v="158"/>
        <n v="275"/>
        <n v="295"/>
        <n v="118"/>
        <n v="765"/>
        <n v="820"/>
        <n v="532"/>
        <n v="929"/>
        <n v="354"/>
        <n v="97"/>
        <n v="750"/>
        <n v="210"/>
        <n v="249"/>
        <n v="10"/>
        <n v="405"/>
        <n v="796"/>
        <n v="623"/>
        <n v="501"/>
        <n v="547"/>
        <n v="252"/>
        <n v="626"/>
        <n v="951"/>
        <n v="195"/>
        <n v="38"/>
        <n v="12"/>
        <n v="546"/>
        <n v="92"/>
        <n v="200"/>
        <n v="164"/>
        <n v="932"/>
        <n v="213"/>
        <n v="978"/>
        <n v="62"/>
        <n v="616"/>
        <n v="89"/>
        <n v="417"/>
        <n v="366"/>
        <n v="464"/>
        <n v="187"/>
        <n v="397"/>
        <n v="928"/>
        <n v="184"/>
        <n v="973"/>
        <n v="29"/>
        <n v="374"/>
        <n v="789"/>
        <n v="376"/>
        <n v="465"/>
        <n v="470"/>
        <n v="447"/>
        <n v="116"/>
        <n v="209"/>
        <n v="88"/>
        <n v="313"/>
        <n v="286"/>
        <n v="338"/>
        <n v="19"/>
        <n v="966"/>
        <n v="519"/>
        <n v="701"/>
        <n v="472"/>
        <n v="746"/>
        <n v="297"/>
        <n v="121"/>
        <n v="177"/>
        <n v="639"/>
        <n v="238"/>
        <n v="192"/>
        <n v="119"/>
        <n v="594"/>
        <n v="590"/>
        <n v="77"/>
        <n v="135"/>
        <n v="197"/>
        <n v="624"/>
        <n v="592"/>
        <n v="897"/>
        <n v="643"/>
        <n v="770"/>
        <n v="171"/>
        <n v="153"/>
        <n v="47"/>
        <n v="149"/>
        <n v="362"/>
        <n v="81"/>
        <n v="60"/>
        <n v="163"/>
      </sharedItems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">
      <sharedItems containsSemiMixedTypes="0" containsString="0" containsNumber="1" minValue="134.39727463312369" maxValue="5905.0039521686258"/>
    </cacheField>
    <cacheField name="Total Engagement " numFmtId="1">
      <sharedItems containsSemiMixedTypes="0" containsString="0" containsNumber="1" containsInteger="1" minValue="315" maxValue="6278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1" numFmtId="0">
      <sharedItems count="3">
        <s v="#PepsiCoRefresh"/>
        <s v="#ThirstyForMore"/>
        <s v="#LiveForNow"/>
      </sharedItems>
    </cacheField>
    <cacheField name="Hashtags 2" numFmtId="0">
      <sharedItems containsBlank="1" count="6">
        <m/>
        <s v="#AnytimeIsPepsiTime"/>
        <s v="#PepsiCoRefresh"/>
        <s v="#ThirstyForMore"/>
        <s v="#BetterWithPepsi"/>
        <s v="#SmoothLikeNitroPepsi"/>
      </sharedItems>
    </cacheField>
    <cacheField name="Hashtags 3" numFmtId="0">
      <sharedItems containsBlank="1" count="4">
        <m/>
        <s v="#AnytimeIsPepsiTime"/>
        <s v="#BetterWithPepsi"/>
        <s v="#ThirstyForMore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38.065226736115" createdVersion="8" refreshedVersion="8" minRefreshableVersion="3" recordCount="300" xr:uid="{4D0EF632-24B0-4470-B127-549AB1533860}">
  <cacheSource type="worksheet">
    <worksheetSource ref="B1:S301" sheet="Posts"/>
  </cacheSource>
  <cacheFields count="17">
    <cacheField name="Platform" numFmtId="0">
      <sharedItems/>
    </cacheField>
    <cacheField name="Date" numFmtId="14">
      <sharedItems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">
      <sharedItems containsSemiMixedTypes="0" containsString="0" containsNumber="1" minValue="134.39727463312369" maxValue="5905.0039521686258"/>
    </cacheField>
    <cacheField name="Total Engagement " numFmtId="1">
      <sharedItems containsSemiMixedTypes="0" containsString="0" containsNumber="1" containsInteger="1" minValue="315" maxValue="6278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1" numFmtId="0">
      <sharedItems/>
    </cacheField>
    <cacheField name="Hashtags 2" numFmtId="0">
      <sharedItems containsBlank="1"/>
    </cacheField>
    <cacheField name="Hashtags 3" numFmtId="0">
      <sharedItems containsBlank="1"/>
    </cacheField>
    <cacheField name="Unique Hashtags" numFmtId="0">
      <sharedItems containsBlank="1" count="7">
        <s v="#PepsiCoRefresh"/>
        <s v="#ThirstyForMore"/>
        <s v="#LiveForNow"/>
        <s v="#AnytimeIsPepsiTime"/>
        <s v="#BetterWithPepsi"/>
        <s v="#SmoothLikeNitroPepsi"/>
        <m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38.070833796293" createdVersion="8" refreshedVersion="8" minRefreshableVersion="3" recordCount="300" xr:uid="{82DCD938-15A9-40E6-AC3B-48EE357ABC00}">
  <cacheSource type="worksheet">
    <worksheetSource ref="A1:S301" sheet="Posts"/>
  </cacheSource>
  <cacheFields count="18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0">
      <sharedItems count="6">
        <s v="Video"/>
        <s v="Story"/>
        <s v="Text"/>
        <s v="Image"/>
        <s v="Carousel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">
      <sharedItems containsSemiMixedTypes="0" containsString="0" containsNumber="1" minValue="134.39727463312369" maxValue="5905.0039521686258"/>
    </cacheField>
    <cacheField name="Total Engagement " numFmtId="1">
      <sharedItems containsSemiMixedTypes="0" containsString="0" containsNumber="1" containsInteger="1" minValue="315" maxValue="6278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1" numFmtId="0">
      <sharedItems/>
    </cacheField>
    <cacheField name="Hashtags 2" numFmtId="0">
      <sharedItems containsBlank="1"/>
    </cacheField>
    <cacheField name="Hashtags 3" numFmtId="0">
      <sharedItems containsBlank="1"/>
    </cacheField>
    <cacheField name="Unique Hashtags" numFmtId="0">
      <sharedItems containsBlank="1" count="7">
        <s v="#PepsiCoRefresh"/>
        <s v="#ThirstyForMore"/>
        <s v="#LiveForNow"/>
        <s v="#AnytimeIsPepsiTime"/>
        <s v="#BetterWithPepsi"/>
        <s v="#SmoothLikeNitroPepsi"/>
        <m/>
      </sharedItems>
    </cacheField>
    <cacheField name="Campaign_Name" numFmtId="0">
      <sharedItems containsBlank="1" count="5">
        <s v="SummerSplash"/>
        <s v="DailyWellness"/>
        <s v="NewYearRefresh"/>
        <s v="FestiveRadianc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38.502517013891" createdVersion="8" refreshedVersion="8" minRefreshableVersion="3" recordCount="200" xr:uid="{4493B119-75FB-46A1-87FD-830B1E8ED66D}">
  <cacheSource type="worksheet">
    <worksheetSource ref="A1:H201" sheet="Engagement Summary"/>
  </cacheSource>
  <cacheFields count="9">
    <cacheField name="Week_Start_Date" numFmtId="165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64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Net follwers -/+" numFmtId="1">
      <sharedItems containsSemiMixedTypes="0" containsString="0" containsNumber="1" containsInteger="1" minValue="-337" maxValue="1881"/>
    </cacheField>
    <cacheField name="Folower Growth" numFmtId="10">
      <sharedItems containsSemiMixedTypes="0" containsString="0" containsNumber="1" minValue="-0.4081978730104896" maxValue="10.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38.522886805556" createdVersion="8" refreshedVersion="8" minRefreshableVersion="3" recordCount="300" xr:uid="{F777CFC4-2ECC-4E1F-87D3-BACADB65C2F9}">
  <cacheSource type="worksheet">
    <worksheetSource ref="D1:S301" sheet="Posts"/>
  </cacheSource>
  <cacheFields count="16"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">
      <sharedItems containsSemiMixedTypes="0" containsString="0" containsNumber="1" minValue="134.39727463312369" maxValue="5905.0039521686258"/>
    </cacheField>
    <cacheField name="Total Engagement " numFmtId="1">
      <sharedItems containsSemiMixedTypes="0" containsString="0" containsNumber="1" containsInteger="1" minValue="315" maxValue="6278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1" numFmtId="0">
      <sharedItems/>
    </cacheField>
    <cacheField name="Hashtags 2" numFmtId="0">
      <sharedItems containsBlank="1"/>
    </cacheField>
    <cacheField name="Hashtags 3" numFmtId="0">
      <sharedItems containsBlank="1"/>
    </cacheField>
    <cacheField name="Unique Hashtags" numFmtId="0">
      <sharedItems containsBlank="1" count="7">
        <s v="#PepsiCoRefresh"/>
        <s v="#ThirstyForMore"/>
        <s v="#LiveForNow"/>
        <s v="#AnytimeIsPepsiTime"/>
        <s v="#BetterWithPepsi"/>
        <s v="#SmoothLikeNitroPepsi"/>
        <m/>
      </sharedItems>
    </cacheField>
    <cacheField name="Count of Hashtags" numFmtId="0">
      <sharedItems containsString="0" containsBlank="1" containsNumber="1" containsInteger="1" minValue="5" maxValue="107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42.967435763887" createdVersion="8" refreshedVersion="8" minRefreshableVersion="3" recordCount="300" xr:uid="{C6C3E480-8F84-487E-99E2-E4D98154D1DD}">
  <cacheSource type="worksheet">
    <worksheetSource ref="A1:W301" sheet="Posts"/>
  </cacheSource>
  <cacheFields count="23">
    <cacheField name="Post ID" numFmtId="0">
      <sharedItems/>
    </cacheField>
    <cacheField name="Platform" numFmtId="0">
      <sharedItems/>
    </cacheField>
    <cacheField name="Date" numFmtId="168">
      <sharedItems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Average Engagement Rate" numFmtId="1">
      <sharedItems containsSemiMixedTypes="0" containsString="0" containsNumber="1" minValue="134.39727463312369" maxValue="5905.0039521686258"/>
    </cacheField>
    <cacheField name="Total Engagement " numFmtId="1">
      <sharedItems containsSemiMixedTypes="0" containsString="0" containsNumber="1" containsInteger="1" minValue="315" maxValue="6278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1" numFmtId="0">
      <sharedItems/>
    </cacheField>
    <cacheField name="Hashtags 2" numFmtId="0">
      <sharedItems containsBlank="1"/>
    </cacheField>
    <cacheField name="Hashtags 3" numFmtId="0">
      <sharedItems containsBlank="1"/>
    </cacheField>
    <cacheField name="Unique Hashtags" numFmtId="0">
      <sharedItems containsBlank="1"/>
    </cacheField>
    <cacheField name="Count of Hashtags" numFmtId="0">
      <sharedItems containsString="0" containsBlank="1" containsNumber="1" containsInteger="1" minValue="5" maxValue="107"/>
    </cacheField>
    <cacheField name="Campaign_Name" numFmtId="0">
      <sharedItems containsBlank="1"/>
    </cacheField>
    <cacheField name="During SummerSplash or Not" numFmtId="0">
      <sharedItems count="2">
        <s v="Before/After"/>
        <s v="During"/>
      </sharedItems>
    </cacheField>
    <cacheField name="During FestiveRadiance or Not" numFmtId="0">
      <sharedItems count="2">
        <s v="Before/After"/>
        <s v="During"/>
      </sharedItems>
    </cacheField>
    <cacheField name="During NewYearRefresh or Not" numFmtId="0">
      <sharedItems count="2">
        <s v="Before/After"/>
        <s v="During"/>
      </sharedItems>
    </cacheField>
    <cacheField name="During DailyWellness or Not" numFmtId="0">
      <sharedItems count="2">
        <s v="Before/After"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42.968590046294" createdVersion="8" refreshedVersion="8" minRefreshableVersion="3" recordCount="4" xr:uid="{3331AE94-E66B-46B1-9D15-2C54B048D04C}">
  <cacheSource type="worksheet">
    <worksheetSource ref="A1:H5" sheet="Campaign Metadata"/>
  </cacheSource>
  <cacheFields count="8">
    <cacheField name="Campaign_Name" numFmtId="0">
      <sharedItems count="4">
        <s v="SummerSplash"/>
        <s v="DailyWellness"/>
        <s v="FestiveRadiance"/>
        <s v="NewYearRefresh"/>
      </sharedItems>
    </cacheField>
    <cacheField name="Start_Date" numFmtId="165">
      <sharedItems/>
    </cacheField>
    <cacheField name="End_Date" numFmtId="165">
      <sharedItems/>
    </cacheField>
    <cacheField name="Objective" numFmtId="0">
      <sharedItems/>
    </cacheField>
    <cacheField name="Total_Budget" numFmtId="166">
      <sharedItems containsSemiMixedTypes="0" containsString="0" containsNumber="1" containsInteger="1" minValue="150000" maxValue="250000" count="4">
        <n v="150000"/>
        <n v="180000"/>
        <n v="200000"/>
        <n v="250000"/>
      </sharedItems>
    </cacheField>
    <cacheField name="Total Engaagement During Campaign" numFmtId="1">
      <sharedItems containsSemiMixedTypes="0" containsString="0" containsNumber="1" containsInteger="1" minValue="33044" maxValue="137691"/>
    </cacheField>
    <cacheField name="Target_Platforms" numFmtId="0">
      <sharedItems/>
    </cacheField>
    <cacheField name="Primary_Hashta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47.540791782405" createdVersion="8" refreshedVersion="8" minRefreshableVersion="3" recordCount="10" xr:uid="{95B2A40F-2FC6-43CA-A611-CE36A1BE63B4}">
  <cacheSource type="worksheet">
    <worksheetSource ref="A43:C53" sheet="Engagement Analysis 1"/>
  </cacheSource>
  <cacheFields count="3">
    <cacheField name="Platform" numFmtId="49">
      <sharedItems count="4">
        <s v="Twitter"/>
        <s v="YouTube"/>
        <s v="Instagram"/>
        <s v="Facebook"/>
      </sharedItems>
    </cacheField>
    <cacheField name="Content Type" numFmtId="0">
      <sharedItems count="4">
        <s v="Video"/>
        <s v="Story"/>
        <s v="Text"/>
        <s v="Image"/>
      </sharedItems>
    </cacheField>
    <cacheField name="Total Engagement " numFmtId="1">
      <sharedItems containsSemiMixedTypes="0" containsString="0" containsNumber="1" containsInteger="1" minValue="5879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47.575813310184" createdVersion="8" refreshedVersion="8" minRefreshableVersion="3" recordCount="6" xr:uid="{8457E54C-997F-4F83-94BD-3B4FCC47967F}">
  <cacheSource type="worksheet">
    <worksheetSource ref="H35:I41" sheet="Engagement Analysis 1"/>
  </cacheSource>
  <cacheFields count="2">
    <cacheField name="Hastags" numFmtId="0">
      <sharedItems count="6">
        <s v="#PepsiCoRefresh"/>
        <s v="#ThirstyForMore"/>
        <s v="#LiveForNow"/>
        <s v="#SmoothLikeNitroPepsi"/>
        <s v="#AnytimeIsPepsiTime"/>
        <s v="#BetterWithPepsi"/>
      </sharedItems>
    </cacheField>
    <cacheField name="Count" numFmtId="0">
      <sharedItems containsSemiMixedTypes="0" containsString="0" containsNumber="1" containsInteger="1" minValue="5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48.378041782409" createdVersion="8" refreshedVersion="8" minRefreshableVersion="3" recordCount="200" xr:uid="{EC49E4A2-C1DE-4501-BBE8-FDE1DB79F4A8}">
  <cacheSource type="worksheet">
    <worksheetSource ref="A1:K201" sheet="Engagement Summary"/>
  </cacheSource>
  <cacheFields count="11">
    <cacheField name="Platform" numFmtId="0">
      <sharedItems count="4">
        <s v="Instagram"/>
        <s v="Facebook"/>
        <s v="Twitter"/>
        <s v="YouTube"/>
      </sharedItems>
    </cacheField>
    <cacheField name="New_Followers" numFmtId="1">
      <sharedItems containsSemiMixedTypes="0" containsString="0" containsNumber="1" containsInteger="1" minValue="115" maxValue="1980"/>
    </cacheField>
    <cacheField name="Unfollows" numFmtId="1">
      <sharedItems containsSemiMixedTypes="0" containsString="0" containsNumber="1" containsInteger="1" minValue="20" maxValue="498"/>
    </cacheField>
    <cacheField name="Total_Followers" numFmtId="1">
      <sharedItems containsSemiMixedTypes="0" containsString="0" containsNumber="1" containsInteger="1" minValue="11435" maxValue="496982"/>
    </cacheField>
    <cacheField name="Engagement_Rate" numFmtId="164">
      <sharedItems containsSemiMixedTypes="0" containsString="0" containsNumber="1" minValue="1.53" maxValue="9.48"/>
    </cacheField>
    <cacheField name="Ad_Spend" numFmtId="44">
      <sharedItems containsSemiMixedTypes="0" containsString="0" containsNumber="1" containsInteger="1" minValue="1083" maxValue="49772"/>
    </cacheField>
    <cacheField name="Net follwers -/+" numFmtId="1">
      <sharedItems containsSemiMixedTypes="0" containsString="0" containsNumber="1" containsInteger="1" minValue="-337" maxValue="1881"/>
    </cacheField>
    <cacheField name="Folower Growth" numFmtId="10">
      <sharedItems containsSemiMixedTypes="0" containsString="0" containsNumber="1" minValue="-0.4081978730104896" maxValue="10.825114265095021"/>
    </cacheField>
    <cacheField name="Campaign Name" numFmtId="0">
      <sharedItems containsBlank="1"/>
    </cacheField>
    <cacheField name="Week_Start_Date" numFmtId="165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Follower Growth" numFmtId="10">
      <sharedItems containsSemiMixedTypes="0" containsString="0" containsNumber="1" minValue="-0.4081978730104896" maxValue="10.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sandipab" refreshedDate="46051.44253472222" createdVersion="8" refreshedVersion="8" minRefreshableVersion="3" recordCount="1000" xr:uid="{2065BBBC-CACF-4C4A-826D-FB96068ADF7A}">
  <cacheSource type="worksheet">
    <worksheetSource ref="J1:L1048576" sheet="Engagement Summary"/>
  </cacheSource>
  <cacheFields count="3">
    <cacheField name="Week_Start_Date" numFmtId="0">
      <sharedItems containsBlank="1" count="51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m/>
      </sharedItems>
    </cacheField>
    <cacheField name="Follower Growth" numFmtId="0">
      <sharedItems containsString="0" containsBlank="1" containsNumber="1" minValue="-0.4081978730104896" maxValue="10.825114265095021"/>
    </cacheField>
    <cacheField name="Platform" numFmtId="0">
      <sharedItems containsBlank="1" count="5">
        <s v="Instagram"/>
        <s v="Facebook"/>
        <s v="Twitter"/>
        <s v="YouTub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2024-09-05"/>
    <x v="0"/>
    <s v="Check out our latest video on twitter!"/>
    <n v="4886"/>
    <x v="0"/>
    <n v="409"/>
    <n v="43974"/>
    <n v="5869.0093009505617"/>
    <n v="6278"/>
    <n v="43239"/>
    <n v="65"/>
    <x v="0"/>
    <x v="0"/>
    <x v="0"/>
    <s v="SummerSplash"/>
  </r>
  <r>
    <x v="1"/>
    <x v="1"/>
    <s v="2024-10-28"/>
    <x v="1"/>
    <s v="Check out our latest story on youtube!"/>
    <n v="4929"/>
    <x v="1"/>
    <n v="452"/>
    <n v="93651"/>
    <n v="5678.0048264300431"/>
    <n v="6130"/>
    <n v="92810"/>
    <n v="66"/>
    <x v="1"/>
    <x v="0"/>
    <x v="0"/>
    <s v="DailyWellness"/>
  </r>
  <r>
    <x v="2"/>
    <x v="1"/>
    <s v="2025-02-27"/>
    <x v="2"/>
    <s v="Check out our latest text on youtube!"/>
    <n v="4934"/>
    <x v="2"/>
    <n v="156"/>
    <n v="39472"/>
    <n v="5905.0039521686258"/>
    <n v="6061"/>
    <n v="39025"/>
    <n v="169"/>
    <x v="0"/>
    <x v="1"/>
    <x v="0"/>
    <s v="DailyWellness"/>
  </r>
  <r>
    <x v="3"/>
    <x v="2"/>
    <s v="2024-10-27"/>
    <x v="3"/>
    <s v="Check out our latest image on instagram!"/>
    <n v="4853"/>
    <x v="3"/>
    <n v="340"/>
    <n v="72795"/>
    <n v="5690.0046706504563"/>
    <n v="6030"/>
    <n v="72237"/>
    <n v="170"/>
    <x v="1"/>
    <x v="0"/>
    <x v="0"/>
    <s v="SummerSplash"/>
  </r>
  <r>
    <x v="4"/>
    <x v="1"/>
    <s v="2024-10-25"/>
    <x v="0"/>
    <s v="Check out our latest video on youtube!"/>
    <n v="4661"/>
    <x v="4"/>
    <n v="433"/>
    <n v="23305"/>
    <n v="5596.0185797039258"/>
    <n v="6029"/>
    <n v="22583"/>
    <n v="63"/>
    <x v="2"/>
    <x v="0"/>
    <x v="0"/>
    <s v="NewYearRefresh"/>
  </r>
  <r>
    <x v="5"/>
    <x v="3"/>
    <s v="2025-05-06"/>
    <x v="3"/>
    <s v="Check out our latest image on facebook!"/>
    <n v="4872"/>
    <x v="5"/>
    <n v="176"/>
    <n v="82824"/>
    <n v="5797.0021249879264"/>
    <n v="5973"/>
    <n v="82543"/>
    <n v="89"/>
    <x v="1"/>
    <x v="0"/>
    <x v="0"/>
    <s v="FestiveRadiance"/>
  </r>
  <r>
    <x v="6"/>
    <x v="2"/>
    <s v="2025-02-04"/>
    <x v="3"/>
    <s v="Check out our latest image on instagram!"/>
    <n v="4619"/>
    <x v="6"/>
    <n v="499"/>
    <n v="69285"/>
    <n v="5440.0072021361048"/>
    <n v="5939"/>
    <n v="69141"/>
    <n v="298"/>
    <x v="0"/>
    <x v="0"/>
    <x v="0"/>
    <s v="DailyWellness"/>
  </r>
  <r>
    <x v="7"/>
    <x v="0"/>
    <s v="2025-02-19"/>
    <x v="2"/>
    <s v="Check out our latest text on twitter!"/>
    <n v="4671"/>
    <x v="7"/>
    <n v="366"/>
    <n v="51381"/>
    <n v="5547.0071232556784"/>
    <n v="5913"/>
    <n v="50565"/>
    <n v="245"/>
    <x v="0"/>
    <x v="0"/>
    <x v="0"/>
    <s v="DailyWellness"/>
  </r>
  <r>
    <x v="8"/>
    <x v="2"/>
    <s v="2024-07-01"/>
    <x v="1"/>
    <s v="Check out our latest story on instagram!"/>
    <n v="4808"/>
    <x v="8"/>
    <n v="320"/>
    <n v="72120"/>
    <n v="5580.0044370493624"/>
    <n v="5900"/>
    <n v="71696"/>
    <n v="195"/>
    <x v="1"/>
    <x v="0"/>
    <x v="0"/>
    <s v="SummerSplash"/>
  </r>
  <r>
    <x v="9"/>
    <x v="1"/>
    <s v="2024-09-02"/>
    <x v="3"/>
    <s v="Check out our latest image on youtube!"/>
    <n v="4905"/>
    <x v="9"/>
    <n v="129"/>
    <n v="98100"/>
    <n v="5750.0013149847091"/>
    <n v="5879"/>
    <n v="97772"/>
    <n v="279"/>
    <x v="0"/>
    <x v="0"/>
    <x v="0"/>
    <s v="FestiveRadiance"/>
  </r>
  <r>
    <x v="10"/>
    <x v="1"/>
    <s v="2025-04-17"/>
    <x v="4"/>
    <s v="Check out our latest carousel on youtube!"/>
    <n v="4780"/>
    <x v="10"/>
    <n v="380"/>
    <n v="86040"/>
    <n v="5471.0044165504414"/>
    <n v="5851"/>
    <n v="85743"/>
    <n v="262"/>
    <x v="2"/>
    <x v="0"/>
    <x v="0"/>
    <s v="NewYearRefresh"/>
  </r>
  <r>
    <x v="11"/>
    <x v="2"/>
    <s v="2024-07-03"/>
    <x v="4"/>
    <s v="Check out our latest carousel on instagram!"/>
    <n v="4799"/>
    <x v="11"/>
    <n v="289"/>
    <n v="43191"/>
    <n v="5493.0066912088168"/>
    <n v="5782"/>
    <n v="42228"/>
    <n v="118"/>
    <x v="0"/>
    <x v="0"/>
    <x v="0"/>
    <m/>
  </r>
  <r>
    <x v="12"/>
    <x v="3"/>
    <s v="2024-12-03"/>
    <x v="3"/>
    <s v="Check out our latest image on facebook!"/>
    <n v="4606"/>
    <x v="12"/>
    <n v="230"/>
    <n v="92120"/>
    <n v="5537.0024967433783"/>
    <n v="5767"/>
    <n v="91440"/>
    <n v="56"/>
    <x v="0"/>
    <x v="0"/>
    <x v="0"/>
    <m/>
  </r>
  <r>
    <x v="13"/>
    <x v="1"/>
    <s v="2024-06-21"/>
    <x v="3"/>
    <s v="Check out our latest image on youtube!"/>
    <n v="4832"/>
    <x v="13"/>
    <n v="10"/>
    <n v="91808"/>
    <n v="5725.00010892297"/>
    <n v="5735"/>
    <n v="91296"/>
    <n v="182"/>
    <x v="0"/>
    <x v="0"/>
    <x v="0"/>
    <m/>
  </r>
  <r>
    <x v="14"/>
    <x v="2"/>
    <s v="2024-10-21"/>
    <x v="5"/>
    <s v="Check out our latest reel on instagram!"/>
    <n v="4840"/>
    <x v="14"/>
    <n v="211"/>
    <n v="43560"/>
    <n v="5498.00484389348"/>
    <n v="5709"/>
    <n v="43225"/>
    <n v="57"/>
    <x v="2"/>
    <x v="0"/>
    <x v="0"/>
    <s v="NewYearRefresh"/>
  </r>
  <r>
    <x v="15"/>
    <x v="2"/>
    <s v="2024-11-28"/>
    <x v="2"/>
    <s v="Check out our latest text on instagram!"/>
    <n v="4771"/>
    <x v="15"/>
    <n v="56"/>
    <n v="57252"/>
    <n v="5589.0009781317685"/>
    <n v="5645"/>
    <n v="56378"/>
    <n v="150"/>
    <x v="2"/>
    <x v="0"/>
    <x v="0"/>
    <m/>
  </r>
  <r>
    <x v="16"/>
    <x v="3"/>
    <s v="2025-04-22"/>
    <x v="3"/>
    <s v="Check out our latest image on facebook!"/>
    <n v="4804"/>
    <x v="16"/>
    <n v="270"/>
    <n v="28824"/>
    <n v="5354.0093671940049"/>
    <n v="5624"/>
    <n v="28370"/>
    <n v="47"/>
    <x v="1"/>
    <x v="0"/>
    <x v="0"/>
    <s v="DailyWellness"/>
  </r>
  <r>
    <x v="17"/>
    <x v="2"/>
    <s v="2025-03-27"/>
    <x v="2"/>
    <s v="Check out our latest text on instagram!"/>
    <n v="4941"/>
    <x v="17"/>
    <n v="266"/>
    <n v="39528"/>
    <n v="5355.0067294070022"/>
    <n v="5621"/>
    <n v="39154"/>
    <n v="217"/>
    <x v="0"/>
    <x v="0"/>
    <x v="0"/>
    <s v="NewYearRefresh"/>
  </r>
  <r>
    <x v="18"/>
    <x v="2"/>
    <s v="2025-01-04"/>
    <x v="5"/>
    <s v="Check out our latest reel on instagram!"/>
    <n v="4838"/>
    <x v="18"/>
    <n v="128"/>
    <n v="72570"/>
    <n v="5478.0017638142481"/>
    <n v="5606"/>
    <n v="72396"/>
    <n v="83"/>
    <x v="2"/>
    <x v="0"/>
    <x v="0"/>
    <s v="DailyWellness"/>
  </r>
  <r>
    <x v="19"/>
    <x v="0"/>
    <s v="2024-10-22"/>
    <x v="5"/>
    <s v="Check out our latest reel on twitter!"/>
    <n v="4782"/>
    <x v="19"/>
    <n v="82"/>
    <n v="86076"/>
    <n v="5503.0009526464983"/>
    <n v="5585"/>
    <n v="85339"/>
    <n v="19"/>
    <x v="1"/>
    <x v="0"/>
    <x v="0"/>
    <s v="SummerSplash"/>
  </r>
  <r>
    <x v="20"/>
    <x v="1"/>
    <s v="2024-10-18"/>
    <x v="0"/>
    <s v="Check out our latest video on youtube!"/>
    <n v="4450"/>
    <x v="0"/>
    <n v="143"/>
    <n v="75650"/>
    <n v="5433.0018902842039"/>
    <n v="5576"/>
    <n v="75008"/>
    <n v="12"/>
    <x v="2"/>
    <x v="0"/>
    <x v="0"/>
    <s v="NewYearRefresh"/>
  </r>
  <r>
    <x v="21"/>
    <x v="1"/>
    <s v="2024-12-03"/>
    <x v="1"/>
    <s v="Check out our latest story on youtube!"/>
    <n v="4285"/>
    <x v="20"/>
    <n v="376"/>
    <n v="55705"/>
    <n v="5171.0067498429225"/>
    <n v="5547"/>
    <n v="55556"/>
    <n v="51"/>
    <x v="2"/>
    <x v="0"/>
    <x v="0"/>
    <s v="NewYearRefresh"/>
  </r>
  <r>
    <x v="22"/>
    <x v="0"/>
    <s v="2024-11-26"/>
    <x v="2"/>
    <s v="Check out our latest text on twitter!"/>
    <n v="4516"/>
    <x v="21"/>
    <n v="169"/>
    <n v="49676"/>
    <n v="5352.0034020452531"/>
    <n v="5521"/>
    <n v="49257"/>
    <n v="282"/>
    <x v="1"/>
    <x v="0"/>
    <x v="0"/>
    <s v="DailyWellness"/>
  </r>
  <r>
    <x v="23"/>
    <x v="0"/>
    <s v="2024-07-16"/>
    <x v="2"/>
    <s v="Check out our latest text on twitter!"/>
    <n v="4725"/>
    <x v="22"/>
    <n v="362"/>
    <n v="75600"/>
    <n v="5125.0047883597881"/>
    <n v="5487"/>
    <n v="74927"/>
    <n v="43"/>
    <x v="2"/>
    <x v="0"/>
    <x v="0"/>
    <s v="DailyWellness"/>
  </r>
  <r>
    <x v="24"/>
    <x v="1"/>
    <s v="2024-08-22"/>
    <x v="4"/>
    <s v="Check out our latest carousel on youtube!"/>
    <n v="4295"/>
    <x v="23"/>
    <n v="325"/>
    <n v="85900"/>
    <n v="5148.0037834691502"/>
    <n v="5473"/>
    <n v="85788"/>
    <n v="290"/>
    <x v="0"/>
    <x v="0"/>
    <x v="0"/>
    <s v="DailyWellness"/>
  </r>
  <r>
    <x v="25"/>
    <x v="3"/>
    <s v="2024-11-04"/>
    <x v="3"/>
    <s v="Check out our latest image on facebook!"/>
    <n v="4551"/>
    <x v="24"/>
    <n v="207"/>
    <n v="68265"/>
    <n v="5265.0030323005931"/>
    <n v="5472"/>
    <n v="67754"/>
    <n v="57"/>
    <x v="2"/>
    <x v="0"/>
    <x v="0"/>
    <s v="NewYearRefresh"/>
  </r>
  <r>
    <x v="26"/>
    <x v="3"/>
    <s v="2025-03-29"/>
    <x v="4"/>
    <s v="Check out our latest carousel on facebook!"/>
    <n v="4712"/>
    <x v="25"/>
    <n v="127"/>
    <n v="84816"/>
    <n v="5280.0014973589887"/>
    <n v="5407"/>
    <n v="84691"/>
    <n v="100"/>
    <x v="1"/>
    <x v="0"/>
    <x v="0"/>
    <s v="NewYearRefresh"/>
  </r>
  <r>
    <x v="27"/>
    <x v="2"/>
    <s v="2024-08-13"/>
    <x v="3"/>
    <s v="Check out our latest image on instagram!"/>
    <n v="4739"/>
    <x v="26"/>
    <n v="135"/>
    <n v="61607"/>
    <n v="5266.0021913094288"/>
    <n v="5401"/>
    <n v="61333"/>
    <n v="36"/>
    <x v="0"/>
    <x v="1"/>
    <x v="0"/>
    <s v="FestiveRadiance"/>
  </r>
  <r>
    <x v="28"/>
    <x v="3"/>
    <s v="2025-01-18"/>
    <x v="1"/>
    <s v="Check out our latest story on facebook!"/>
    <n v="4321"/>
    <x v="27"/>
    <n v="172"/>
    <n v="30247"/>
    <n v="5195.0056865143652"/>
    <n v="5367"/>
    <n v="29254"/>
    <n v="122"/>
    <x v="0"/>
    <x v="0"/>
    <x v="0"/>
    <s v="DailyWellness"/>
  </r>
  <r>
    <x v="29"/>
    <x v="1"/>
    <s v="2024-10-21"/>
    <x v="0"/>
    <s v="Check out our latest video on youtube!"/>
    <n v="4275"/>
    <x v="28"/>
    <n v="385"/>
    <n v="64125"/>
    <n v="4955.0060038986358"/>
    <n v="5340"/>
    <n v="63650"/>
    <n v="104"/>
    <x v="1"/>
    <x v="2"/>
    <x v="1"/>
    <s v="DailyWellness"/>
  </r>
  <r>
    <x v="30"/>
    <x v="2"/>
    <s v="2025-02-12"/>
    <x v="1"/>
    <s v="Check out our latest story on instagram!"/>
    <n v="4332"/>
    <x v="29"/>
    <n v="219"/>
    <n v="60648"/>
    <n v="5103.003611001187"/>
    <n v="5322"/>
    <n v="60397"/>
    <n v="10"/>
    <x v="0"/>
    <x v="3"/>
    <x v="2"/>
    <s v="NewYearRefresh"/>
  </r>
  <r>
    <x v="31"/>
    <x v="0"/>
    <s v="2025-03-07"/>
    <x v="3"/>
    <s v="Check out our latest image on twitter!"/>
    <n v="4750"/>
    <x v="30"/>
    <n v="415"/>
    <n v="38000"/>
    <n v="4901.0109210526316"/>
    <n v="5316"/>
    <n v="37792"/>
    <n v="299"/>
    <x v="1"/>
    <x v="0"/>
    <x v="0"/>
    <s v="DailyWellness"/>
  </r>
  <r>
    <x v="32"/>
    <x v="0"/>
    <s v="2024-09-11"/>
    <x v="3"/>
    <s v="Check out our latest image on twitter!"/>
    <n v="4858"/>
    <x v="31"/>
    <n v="129"/>
    <n v="53438"/>
    <n v="5175.0024140125006"/>
    <n v="5304"/>
    <n v="52687"/>
    <n v="223"/>
    <x v="1"/>
    <x v="0"/>
    <x v="0"/>
    <s v="NewYearRefresh"/>
  </r>
  <r>
    <x v="33"/>
    <x v="3"/>
    <s v="2024-07-07"/>
    <x v="5"/>
    <s v="Check out our latest reel on facebook!"/>
    <n v="4767"/>
    <x v="32"/>
    <n v="340"/>
    <n v="28602"/>
    <n v="4957.0118872806097"/>
    <n v="5297"/>
    <n v="28044"/>
    <n v="210"/>
    <x v="1"/>
    <x v="0"/>
    <x v="0"/>
    <s v="NewYearRefresh"/>
  </r>
  <r>
    <x v="34"/>
    <x v="0"/>
    <s v="2025-03-25"/>
    <x v="0"/>
    <s v="Check out our latest video on twitter!"/>
    <n v="4050"/>
    <x v="33"/>
    <n v="347"/>
    <n v="52650"/>
    <n v="4921.0065906932577"/>
    <n v="5268"/>
    <n v="51755"/>
    <n v="209"/>
    <x v="0"/>
    <x v="0"/>
    <x v="0"/>
    <s v="FestiveRadiance"/>
  </r>
  <r>
    <x v="35"/>
    <x v="0"/>
    <s v="2024-08-31"/>
    <x v="4"/>
    <s v="Check out our latest carousel on twitter!"/>
    <n v="4494"/>
    <x v="34"/>
    <n v="45"/>
    <n v="62916"/>
    <n v="5211.0007152393664"/>
    <n v="5256"/>
    <n v="62688"/>
    <n v="191"/>
    <x v="0"/>
    <x v="3"/>
    <x v="2"/>
    <s v="SummerSplash"/>
  </r>
  <r>
    <x v="36"/>
    <x v="1"/>
    <s v="2025-02-24"/>
    <x v="2"/>
    <s v="Check out our latest text on youtube!"/>
    <n v="4188"/>
    <x v="35"/>
    <n v="118"/>
    <n v="20940"/>
    <n v="5130.0056351480416"/>
    <n v="5248"/>
    <n v="20471"/>
    <n v="102"/>
    <x v="2"/>
    <x v="0"/>
    <x v="0"/>
    <m/>
  </r>
  <r>
    <x v="37"/>
    <x v="3"/>
    <s v="2025-04-06"/>
    <x v="3"/>
    <s v="Check out our latest image on facebook!"/>
    <n v="4236"/>
    <x v="36"/>
    <n v="298"/>
    <n v="21180"/>
    <n v="4947.0140698772429"/>
    <n v="5245"/>
    <n v="20516"/>
    <n v="238"/>
    <x v="2"/>
    <x v="0"/>
    <x v="0"/>
    <s v="SummerSplash"/>
  </r>
  <r>
    <x v="38"/>
    <x v="3"/>
    <s v="2024-07-31"/>
    <x v="3"/>
    <s v="Check out our latest image on facebook!"/>
    <n v="4689"/>
    <x v="37"/>
    <n v="403"/>
    <n v="51579"/>
    <n v="4823.0078132573335"/>
    <n v="5226"/>
    <n v="50924"/>
    <n v="173"/>
    <x v="0"/>
    <x v="0"/>
    <x v="0"/>
    <s v="DailyWellness"/>
  </r>
  <r>
    <x v="39"/>
    <x v="2"/>
    <s v="2025-04-08"/>
    <x v="3"/>
    <s v="Check out our latest image on instagram!"/>
    <n v="4501"/>
    <x v="38"/>
    <n v="323"/>
    <n v="22505"/>
    <n v="4876.0143523661409"/>
    <n v="5199"/>
    <n v="21836"/>
    <n v="132"/>
    <x v="0"/>
    <x v="0"/>
    <x v="0"/>
    <s v="FestiveRadiance"/>
  </r>
  <r>
    <x v="40"/>
    <x v="3"/>
    <s v="2025-03-11"/>
    <x v="3"/>
    <s v="Check out our latest image on facebook!"/>
    <n v="4241"/>
    <x v="39"/>
    <n v="47"/>
    <n v="72097"/>
    <n v="5143.0006518995242"/>
    <n v="5190"/>
    <n v="71598"/>
    <n v="167"/>
    <x v="0"/>
    <x v="0"/>
    <x v="0"/>
    <s v="FestiveRadiance"/>
  </r>
  <r>
    <x v="41"/>
    <x v="2"/>
    <s v="2025-04-19"/>
    <x v="1"/>
    <s v="Check out our latest story on instagram!"/>
    <n v="4518"/>
    <x v="40"/>
    <n v="383"/>
    <n v="67770"/>
    <n v="4803.005651468201"/>
    <n v="5186"/>
    <n v="67621"/>
    <n v="31"/>
    <x v="1"/>
    <x v="0"/>
    <x v="0"/>
    <s v="FestiveRadiance"/>
  </r>
  <r>
    <x v="42"/>
    <x v="3"/>
    <s v="2024-06-19"/>
    <x v="4"/>
    <s v="Check out our latest carousel on facebook!"/>
    <n v="4731"/>
    <x v="41"/>
    <n v="276"/>
    <n v="28386"/>
    <n v="4904.0097231029376"/>
    <n v="5180"/>
    <n v="28185"/>
    <n v="89"/>
    <x v="1"/>
    <x v="0"/>
    <x v="0"/>
    <s v="NewYearRefresh"/>
  </r>
  <r>
    <x v="43"/>
    <x v="0"/>
    <s v="2024-11-14"/>
    <x v="1"/>
    <s v="Check out our latest story on twitter!"/>
    <n v="4000"/>
    <x v="42"/>
    <n v="488"/>
    <n v="40000"/>
    <n v="4689.0122000000001"/>
    <n v="5177"/>
    <n v="39569"/>
    <n v="44"/>
    <x v="2"/>
    <x v="0"/>
    <x v="0"/>
    <s v="SummerSplash"/>
  </r>
  <r>
    <x v="44"/>
    <x v="0"/>
    <s v="2024-10-21"/>
    <x v="1"/>
    <s v="Check out our latest story on twitter!"/>
    <n v="3801"/>
    <x v="43"/>
    <n v="401"/>
    <n v="38010"/>
    <n v="4768.0105498553012"/>
    <n v="5169"/>
    <n v="37625"/>
    <n v="236"/>
    <x v="2"/>
    <x v="0"/>
    <x v="0"/>
    <s v="NewYearRefresh"/>
  </r>
  <r>
    <x v="45"/>
    <x v="1"/>
    <s v="2024-07-23"/>
    <x v="1"/>
    <s v="Check out our latest story on youtube!"/>
    <n v="4775"/>
    <x v="41"/>
    <n v="206"/>
    <n v="47750"/>
    <n v="4948.0043141361257"/>
    <n v="5154"/>
    <n v="47544"/>
    <n v="187"/>
    <x v="2"/>
    <x v="0"/>
    <x v="0"/>
    <s v="FestiveRadiance"/>
  </r>
  <r>
    <x v="46"/>
    <x v="2"/>
    <s v="2024-06-14"/>
    <x v="1"/>
    <s v="Check out our latest story on instagram!"/>
    <n v="4363"/>
    <x v="44"/>
    <n v="140"/>
    <n v="21815"/>
    <n v="5012.0064176025671"/>
    <n v="5152"/>
    <n v="21481"/>
    <n v="157"/>
    <x v="1"/>
    <x v="0"/>
    <x v="0"/>
    <s v="SummerSplash"/>
  </r>
  <r>
    <x v="47"/>
    <x v="1"/>
    <s v="2024-10-02"/>
    <x v="1"/>
    <s v="Check out our latest story on youtube!"/>
    <n v="4350"/>
    <x v="29"/>
    <n v="7"/>
    <n v="60900"/>
    <n v="5121.0001149425289"/>
    <n v="5128"/>
    <n v="60592"/>
    <n v="195"/>
    <x v="1"/>
    <x v="0"/>
    <x v="0"/>
    <s v="SummerSplash"/>
  </r>
  <r>
    <x v="48"/>
    <x v="3"/>
    <s v="2024-11-25"/>
    <x v="1"/>
    <s v="Check out our latest story on facebook!"/>
    <n v="4182"/>
    <x v="18"/>
    <n v="240"/>
    <n v="50184"/>
    <n v="4822.0047824007652"/>
    <n v="5062"/>
    <n v="49351"/>
    <n v="10"/>
    <x v="0"/>
    <x v="0"/>
    <x v="0"/>
    <s v="NewYearRefresh"/>
  </r>
  <r>
    <x v="49"/>
    <x v="3"/>
    <s v="2025-01-12"/>
    <x v="5"/>
    <s v="Check out our latest reel on facebook!"/>
    <n v="4134"/>
    <x v="45"/>
    <n v="99"/>
    <n v="41340"/>
    <n v="4958.002394775036"/>
    <n v="5057"/>
    <n v="41050"/>
    <n v="177"/>
    <x v="1"/>
    <x v="0"/>
    <x v="0"/>
    <s v="SummerSplash"/>
  </r>
  <r>
    <x v="50"/>
    <x v="2"/>
    <s v="2024-11-05"/>
    <x v="0"/>
    <s v="Check out our latest video on instagram!"/>
    <n v="4561"/>
    <x v="46"/>
    <n v="441"/>
    <n v="22805"/>
    <n v="4612.0193378645035"/>
    <n v="5053"/>
    <n v="21890"/>
    <n v="45"/>
    <x v="0"/>
    <x v="0"/>
    <x v="0"/>
    <s v="FestiveRadiance"/>
  </r>
  <r>
    <x v="51"/>
    <x v="3"/>
    <s v="2024-10-24"/>
    <x v="3"/>
    <s v="Check out our latest image on facebook!"/>
    <n v="4303"/>
    <x v="47"/>
    <n v="286"/>
    <n v="86060"/>
    <n v="4754.0033232628402"/>
    <n v="5040"/>
    <n v="85823"/>
    <n v="14"/>
    <x v="0"/>
    <x v="0"/>
    <x v="0"/>
    <s v="NewYearRefresh"/>
  </r>
  <r>
    <x v="52"/>
    <x v="3"/>
    <s v="2024-10-18"/>
    <x v="1"/>
    <s v="Check out our latest story on facebook!"/>
    <n v="4126"/>
    <x v="48"/>
    <n v="486"/>
    <n v="78394"/>
    <n v="4552.0061994540401"/>
    <n v="5038"/>
    <n v="77798"/>
    <n v="88"/>
    <x v="2"/>
    <x v="0"/>
    <x v="0"/>
    <s v="DailyWellness"/>
  </r>
  <r>
    <x v="53"/>
    <x v="3"/>
    <s v="2024-11-06"/>
    <x v="0"/>
    <s v="Check out our latest video on facebook!"/>
    <n v="4663"/>
    <x v="49"/>
    <n v="225"/>
    <n v="69945"/>
    <n v="4808.0032168132102"/>
    <n v="5033"/>
    <n v="69596"/>
    <n v="35"/>
    <x v="1"/>
    <x v="0"/>
    <x v="0"/>
    <s v="DailyWellness"/>
  </r>
  <r>
    <x v="54"/>
    <x v="0"/>
    <s v="2024-06-20"/>
    <x v="4"/>
    <s v="Check out our latest carousel on twitter!"/>
    <n v="4672"/>
    <x v="50"/>
    <n v="32"/>
    <n v="88768"/>
    <n v="4997.0003604902668"/>
    <n v="5029"/>
    <n v="87833"/>
    <n v="118"/>
    <x v="1"/>
    <x v="0"/>
    <x v="0"/>
    <m/>
  </r>
  <r>
    <x v="55"/>
    <x v="0"/>
    <s v="2024-10-02"/>
    <x v="4"/>
    <s v="Check out our latest carousel on twitter!"/>
    <n v="4419"/>
    <x v="51"/>
    <n v="369"/>
    <n v="44190"/>
    <n v="4655.0083503054993"/>
    <n v="5024"/>
    <n v="43582"/>
    <n v="10"/>
    <x v="1"/>
    <x v="0"/>
    <x v="0"/>
    <s v="SummerSplash"/>
  </r>
  <r>
    <x v="56"/>
    <x v="3"/>
    <s v="2025-05-05"/>
    <x v="2"/>
    <s v="Check out our latest text on facebook!"/>
    <n v="4441"/>
    <x v="52"/>
    <n v="70"/>
    <n v="53292"/>
    <n v="4952.0013135179761"/>
    <n v="5022"/>
    <n v="53082"/>
    <n v="159"/>
    <x v="1"/>
    <x v="0"/>
    <x v="0"/>
    <s v="DailyWellness"/>
  </r>
  <r>
    <x v="57"/>
    <x v="3"/>
    <s v="2024-06-22"/>
    <x v="5"/>
    <s v="Check out our latest reel on facebook!"/>
    <n v="3813"/>
    <x v="4"/>
    <n v="274"/>
    <n v="68634"/>
    <n v="4748.0039921904599"/>
    <n v="5022"/>
    <n v="68488"/>
    <n v="251"/>
    <x v="2"/>
    <x v="0"/>
    <x v="0"/>
    <m/>
  </r>
  <r>
    <x v="58"/>
    <x v="2"/>
    <s v="2025-04-13"/>
    <x v="5"/>
    <s v="Check out our latest reel on instagram!"/>
    <n v="4579"/>
    <x v="53"/>
    <n v="300"/>
    <n v="59527"/>
    <n v="4704.0050397298701"/>
    <n v="5004"/>
    <n v="59400"/>
    <n v="269"/>
    <x v="1"/>
    <x v="0"/>
    <x v="0"/>
    <s v="SummerSplash"/>
  </r>
  <r>
    <x v="59"/>
    <x v="3"/>
    <s v="2024-08-30"/>
    <x v="2"/>
    <s v="Check out our latest text on facebook!"/>
    <n v="3784"/>
    <x v="54"/>
    <n v="404"/>
    <n v="56760"/>
    <n v="4592.0071176885131"/>
    <n v="4996"/>
    <n v="56343"/>
    <n v="131"/>
    <x v="0"/>
    <x v="0"/>
    <x v="0"/>
    <s v="FestiveRadiance"/>
  </r>
  <r>
    <x v="60"/>
    <x v="3"/>
    <s v="2025-03-23"/>
    <x v="0"/>
    <s v="Check out our latest video on facebook!"/>
    <n v="4453"/>
    <x v="55"/>
    <n v="420"/>
    <n v="31171"/>
    <n v="4564.0134740624299"/>
    <n v="4984"/>
    <n v="30565"/>
    <n v="23"/>
    <x v="0"/>
    <x v="0"/>
    <x v="0"/>
    <m/>
  </r>
  <r>
    <x v="61"/>
    <x v="0"/>
    <s v="2025-04-03"/>
    <x v="2"/>
    <s v="Check out our latest text on twitter!"/>
    <n v="4054"/>
    <x v="56"/>
    <n v="493"/>
    <n v="64864"/>
    <n v="4443.0076005180072"/>
    <n v="4936"/>
    <n v="64383"/>
    <n v="117"/>
    <x v="0"/>
    <x v="4"/>
    <x v="0"/>
    <s v="FestiveRadiance"/>
  </r>
  <r>
    <x v="62"/>
    <x v="3"/>
    <s v="2025-02-16"/>
    <x v="1"/>
    <s v="Check out our latest story on facebook!"/>
    <n v="4242"/>
    <x v="57"/>
    <n v="131"/>
    <n v="33936"/>
    <n v="4797.0038602074492"/>
    <n v="4928"/>
    <n v="33802"/>
    <n v="265"/>
    <x v="2"/>
    <x v="0"/>
    <x v="0"/>
    <m/>
  </r>
  <r>
    <x v="63"/>
    <x v="2"/>
    <s v="2025-04-15"/>
    <x v="0"/>
    <s v="Check out our latest video on instagram!"/>
    <n v="4133"/>
    <x v="58"/>
    <n v="327"/>
    <n v="24798"/>
    <n v="4599.0131865473022"/>
    <n v="4926"/>
    <n v="24620"/>
    <n v="176"/>
    <x v="1"/>
    <x v="0"/>
    <x v="0"/>
    <s v="DailyWellness"/>
  </r>
  <r>
    <x v="64"/>
    <x v="2"/>
    <s v="2024-06-03"/>
    <x v="3"/>
    <s v="Check out our latest image on instagram!"/>
    <n v="3861"/>
    <x v="59"/>
    <n v="101"/>
    <n v="69498"/>
    <n v="4821.0014532792311"/>
    <n v="4922"/>
    <n v="68817"/>
    <n v="297"/>
    <x v="0"/>
    <x v="0"/>
    <x v="0"/>
    <s v="DailyWellness"/>
  </r>
  <r>
    <x v="65"/>
    <x v="2"/>
    <s v="2024-09-09"/>
    <x v="4"/>
    <s v="Check out our latest carousel on instagram!"/>
    <n v="4054"/>
    <x v="60"/>
    <n v="373"/>
    <n v="77026"/>
    <n v="4542.0048425207069"/>
    <n v="4915"/>
    <n v="76881"/>
    <n v="25"/>
    <x v="0"/>
    <x v="0"/>
    <x v="0"/>
    <s v="SummerSplash"/>
  </r>
  <r>
    <x v="66"/>
    <x v="3"/>
    <s v="2024-11-28"/>
    <x v="2"/>
    <s v="Check out our latest text on facebook!"/>
    <n v="4213"/>
    <x v="61"/>
    <n v="434"/>
    <n v="75834"/>
    <n v="4466.0057230266111"/>
    <n v="4900"/>
    <n v="75437"/>
    <n v="272"/>
    <x v="2"/>
    <x v="0"/>
    <x v="0"/>
    <s v="DailyWellness"/>
  </r>
  <r>
    <x v="67"/>
    <x v="0"/>
    <s v="2024-12-29"/>
    <x v="4"/>
    <s v="Check out our latest carousel on twitter!"/>
    <n v="4274"/>
    <x v="62"/>
    <n v="281"/>
    <n v="34192"/>
    <n v="4614.008218296678"/>
    <n v="4895"/>
    <n v="33446"/>
    <n v="129"/>
    <x v="0"/>
    <x v="5"/>
    <x v="0"/>
    <s v="NewYearRefresh"/>
  </r>
  <r>
    <x v="68"/>
    <x v="0"/>
    <s v="2024-09-08"/>
    <x v="4"/>
    <s v="Check out our latest carousel on twitter!"/>
    <n v="3811"/>
    <x v="63"/>
    <n v="216"/>
    <n v="34299"/>
    <n v="4677.0062975596957"/>
    <n v="4893"/>
    <n v="34088"/>
    <n v="233"/>
    <x v="0"/>
    <x v="0"/>
    <x v="0"/>
    <s v="DailyWellness"/>
  </r>
  <r>
    <x v="69"/>
    <x v="1"/>
    <s v="2024-07-18"/>
    <x v="2"/>
    <s v="Check out our latest text on youtube!"/>
    <n v="4021"/>
    <x v="64"/>
    <n v="77"/>
    <n v="36189"/>
    <n v="4815.0021277183678"/>
    <n v="4892"/>
    <n v="35505"/>
    <n v="174"/>
    <x v="1"/>
    <x v="0"/>
    <x v="0"/>
    <m/>
  </r>
  <r>
    <x v="70"/>
    <x v="0"/>
    <s v="2025-03-06"/>
    <x v="3"/>
    <s v="Check out our latest image on twitter!"/>
    <n v="3592"/>
    <x v="65"/>
    <n v="375"/>
    <n v="50288"/>
    <n v="4503.0074570474071"/>
    <n v="4878"/>
    <n v="49490"/>
    <n v="32"/>
    <x v="2"/>
    <x v="0"/>
    <x v="0"/>
    <s v="DailyWellness"/>
  </r>
  <r>
    <x v="71"/>
    <x v="3"/>
    <s v="2024-07-15"/>
    <x v="4"/>
    <s v="Check out our latest carousel on facebook!"/>
    <n v="3796"/>
    <x v="66"/>
    <n v="395"/>
    <n v="64532"/>
    <n v="4463.0061209942351"/>
    <n v="4858"/>
    <n v="63550"/>
    <n v="292"/>
    <x v="0"/>
    <x v="0"/>
    <x v="0"/>
    <m/>
  </r>
  <r>
    <x v="72"/>
    <x v="3"/>
    <s v="2025-01-23"/>
    <x v="0"/>
    <s v="Check out our latest video on facebook!"/>
    <n v="3961"/>
    <x v="67"/>
    <n v="131"/>
    <n v="67337"/>
    <n v="4722.0019454386147"/>
    <n v="4853"/>
    <n v="66615"/>
    <n v="161"/>
    <x v="2"/>
    <x v="0"/>
    <x v="0"/>
    <s v="NewYearRefresh"/>
  </r>
  <r>
    <x v="73"/>
    <x v="2"/>
    <s v="2024-10-22"/>
    <x v="1"/>
    <s v="Check out our latest story on instagram!"/>
    <n v="3770"/>
    <x v="68"/>
    <n v="129"/>
    <n v="71630"/>
    <n v="4687.0018009214018"/>
    <n v="4816"/>
    <n v="71322"/>
    <n v="76"/>
    <x v="2"/>
    <x v="0"/>
    <x v="0"/>
    <s v="SummerSplash"/>
  </r>
  <r>
    <x v="74"/>
    <x v="1"/>
    <s v="2024-07-02"/>
    <x v="4"/>
    <s v="Check out our latest carousel on youtube!"/>
    <n v="4171"/>
    <x v="69"/>
    <n v="86"/>
    <n v="66736"/>
    <n v="4719.0012886597942"/>
    <n v="4805"/>
    <n v="66634"/>
    <n v="173"/>
    <x v="2"/>
    <x v="0"/>
    <x v="0"/>
    <s v="NewYearRefresh"/>
  </r>
  <r>
    <x v="75"/>
    <x v="2"/>
    <s v="2025-04-19"/>
    <x v="3"/>
    <s v="Check out our latest image on instagram!"/>
    <n v="4177"/>
    <x v="70"/>
    <n v="55"/>
    <n v="25062"/>
    <n v="4746.0021945574972"/>
    <n v="4801"/>
    <n v="24847"/>
    <n v="230"/>
    <x v="2"/>
    <x v="0"/>
    <x v="0"/>
    <s v="SummerSplash"/>
  </r>
  <r>
    <x v="76"/>
    <x v="0"/>
    <s v="2025-04-24"/>
    <x v="0"/>
    <s v="Check out our latest video on twitter!"/>
    <n v="3820"/>
    <x v="71"/>
    <n v="268"/>
    <n v="45840"/>
    <n v="4517.0058464223384"/>
    <n v="4785"/>
    <n v="45631"/>
    <n v="171"/>
    <x v="0"/>
    <x v="5"/>
    <x v="0"/>
    <s v="DailyWellness"/>
  </r>
  <r>
    <x v="77"/>
    <x v="1"/>
    <s v="2025-03-03"/>
    <x v="0"/>
    <s v="Check out our latest video on youtube!"/>
    <n v="3874"/>
    <x v="72"/>
    <n v="19"/>
    <n v="38740"/>
    <n v="4758.0004904491479"/>
    <n v="4777"/>
    <n v="38552"/>
    <n v="219"/>
    <x v="0"/>
    <x v="0"/>
    <x v="0"/>
    <s v="FestiveRadiance"/>
  </r>
  <r>
    <x v="78"/>
    <x v="3"/>
    <s v="2024-10-22"/>
    <x v="4"/>
    <s v="Check out our latest carousel on facebook!"/>
    <n v="3352"/>
    <x v="73"/>
    <n v="482"/>
    <n v="43576"/>
    <n v="4293.0110611345699"/>
    <n v="4775"/>
    <n v="43338"/>
    <n v="240"/>
    <x v="2"/>
    <x v="0"/>
    <x v="0"/>
    <s v="FestiveRadiance"/>
  </r>
  <r>
    <x v="79"/>
    <x v="2"/>
    <s v="2024-07-29"/>
    <x v="5"/>
    <s v="Check out our latest reel on instagram!"/>
    <n v="3523"/>
    <x v="74"/>
    <n v="482"/>
    <n v="38753"/>
    <n v="4276.0124377467555"/>
    <n v="4758"/>
    <n v="38579"/>
    <n v="270"/>
    <x v="1"/>
    <x v="0"/>
    <x v="0"/>
    <s v="FestiveRadiance"/>
  </r>
  <r>
    <x v="80"/>
    <x v="2"/>
    <s v="2025-01-11"/>
    <x v="4"/>
    <s v="Check out our latest carousel on instagram!"/>
    <n v="4523"/>
    <x v="75"/>
    <n v="157"/>
    <n v="49753"/>
    <n v="4584.003155588608"/>
    <n v="4741"/>
    <n v="49329"/>
    <n v="71"/>
    <x v="1"/>
    <x v="0"/>
    <x v="0"/>
    <m/>
  </r>
  <r>
    <x v="81"/>
    <x v="0"/>
    <s v="2024-07-31"/>
    <x v="4"/>
    <s v="Check out our latest carousel on twitter!"/>
    <n v="4507"/>
    <x v="76"/>
    <n v="13"/>
    <n v="90140"/>
    <n v="4724.0001442201019"/>
    <n v="4737"/>
    <n v="89591"/>
    <n v="125"/>
    <x v="2"/>
    <x v="0"/>
    <x v="0"/>
    <s v="NewYearRefresh"/>
  </r>
  <r>
    <x v="82"/>
    <x v="3"/>
    <s v="2024-08-24"/>
    <x v="4"/>
    <s v="Check out our latest carousel on facebook!"/>
    <n v="4292"/>
    <x v="46"/>
    <n v="392"/>
    <n v="55796"/>
    <n v="4343.0070255932324"/>
    <n v="4735"/>
    <n v="54826"/>
    <n v="264"/>
    <x v="1"/>
    <x v="0"/>
    <x v="0"/>
    <s v="NewYearRefresh"/>
  </r>
  <r>
    <x v="83"/>
    <x v="1"/>
    <s v="2024-06-26"/>
    <x v="5"/>
    <s v="Check out our latest reel on youtube!"/>
    <n v="3557"/>
    <x v="77"/>
    <n v="424"/>
    <n v="71140"/>
    <n v="4244.0059600787181"/>
    <n v="4668"/>
    <n v="70701"/>
    <n v="224"/>
    <x v="1"/>
    <x v="2"/>
    <x v="0"/>
    <s v="SummerSplash"/>
  </r>
  <r>
    <x v="84"/>
    <x v="0"/>
    <s v="2025-04-28"/>
    <x v="2"/>
    <s v="Check out our latest text on twitter!"/>
    <n v="3577"/>
    <x v="78"/>
    <n v="493"/>
    <n v="67963"/>
    <n v="4173.0072539470002"/>
    <n v="4666"/>
    <n v="67839"/>
    <n v="53"/>
    <x v="0"/>
    <x v="0"/>
    <x v="0"/>
    <s v="NewYearRefresh"/>
  </r>
  <r>
    <x v="85"/>
    <x v="3"/>
    <s v="2024-10-24"/>
    <x v="0"/>
    <s v="Check out our latest video on facebook!"/>
    <n v="3888"/>
    <x v="79"/>
    <n v="128"/>
    <n v="77760"/>
    <n v="4492.0016460905354"/>
    <n v="4620"/>
    <n v="77167"/>
    <n v="20"/>
    <x v="2"/>
    <x v="0"/>
    <x v="0"/>
    <s v="SummerSplash"/>
  </r>
  <r>
    <x v="86"/>
    <x v="0"/>
    <s v="2024-08-03"/>
    <x v="5"/>
    <s v="Check out our latest reel on twitter!"/>
    <n v="3791"/>
    <x v="80"/>
    <n v="228"/>
    <n v="53074"/>
    <n v="4384.0042958887589"/>
    <n v="4612"/>
    <n v="52613"/>
    <n v="205"/>
    <x v="1"/>
    <x v="0"/>
    <x v="0"/>
    <m/>
  </r>
  <r>
    <x v="87"/>
    <x v="2"/>
    <s v="2025-03-28"/>
    <x v="4"/>
    <s v="Check out our latest carousel on instagram!"/>
    <n v="4158"/>
    <x v="81"/>
    <n v="241"/>
    <n v="45738"/>
    <n v="4325.0052691416331"/>
    <n v="4566"/>
    <n v="45183"/>
    <n v="142"/>
    <x v="2"/>
    <x v="0"/>
    <x v="0"/>
    <m/>
  </r>
  <r>
    <x v="88"/>
    <x v="3"/>
    <s v="2025-01-27"/>
    <x v="5"/>
    <s v="Check out our latest reel on facebook!"/>
    <n v="3452"/>
    <x v="82"/>
    <n v="442"/>
    <n v="65588"/>
    <n v="4104.0067390376289"/>
    <n v="4546"/>
    <n v="65049"/>
    <n v="158"/>
    <x v="2"/>
    <x v="0"/>
    <x v="0"/>
    <s v="NewYearRefresh"/>
  </r>
  <r>
    <x v="89"/>
    <x v="3"/>
    <s v="2025-04-03"/>
    <x v="1"/>
    <s v="Check out our latest story on facebook!"/>
    <n v="3767"/>
    <x v="83"/>
    <n v="238"/>
    <n v="37670"/>
    <n v="4281.0063180249535"/>
    <n v="4519"/>
    <n v="36807"/>
    <n v="226"/>
    <x v="2"/>
    <x v="0"/>
    <x v="0"/>
    <s v="DailyWellness"/>
  </r>
  <r>
    <x v="90"/>
    <x v="3"/>
    <s v="2024-12-22"/>
    <x v="3"/>
    <s v="Check out our latest image on facebook!"/>
    <n v="3196"/>
    <x v="73"/>
    <n v="376"/>
    <n v="35156"/>
    <n v="4137.0106951871658"/>
    <n v="4513"/>
    <n v="34444"/>
    <n v="241"/>
    <x v="0"/>
    <x v="0"/>
    <x v="0"/>
    <s v="NewYearRefresh"/>
  </r>
  <r>
    <x v="91"/>
    <x v="1"/>
    <s v="2025-03-23"/>
    <x v="1"/>
    <s v="Check out our latest story on youtube!"/>
    <n v="3655"/>
    <x v="25"/>
    <n v="286"/>
    <n v="32895"/>
    <n v="4223.008694330445"/>
    <n v="4509"/>
    <n v="32015"/>
    <n v="199"/>
    <x v="0"/>
    <x v="0"/>
    <x v="0"/>
    <s v="NewYearRefresh"/>
  </r>
  <r>
    <x v="92"/>
    <x v="1"/>
    <s v="2024-07-13"/>
    <x v="3"/>
    <s v="Check out our latest image on youtube!"/>
    <n v="3929"/>
    <x v="84"/>
    <n v="278"/>
    <n v="43219"/>
    <n v="4191.0064323561401"/>
    <n v="4469"/>
    <n v="42841"/>
    <n v="39"/>
    <x v="1"/>
    <x v="0"/>
    <x v="0"/>
    <s v="DailyWellness"/>
  </r>
  <r>
    <x v="93"/>
    <x v="2"/>
    <s v="2024-07-11"/>
    <x v="2"/>
    <s v="Check out our latest text on instagram!"/>
    <n v="3134"/>
    <x v="85"/>
    <n v="444"/>
    <n v="21938"/>
    <n v="4022.0202388549551"/>
    <n v="4466"/>
    <n v="21337"/>
    <n v="130"/>
    <x v="1"/>
    <x v="0"/>
    <x v="0"/>
    <s v="DailyWellness"/>
  </r>
  <r>
    <x v="94"/>
    <x v="2"/>
    <s v="2024-10-17"/>
    <x v="0"/>
    <s v="Check out our latest video on instagram!"/>
    <n v="3575"/>
    <x v="1"/>
    <n v="111"/>
    <n v="21450"/>
    <n v="4324.0051748251744"/>
    <n v="4435"/>
    <n v="20785"/>
    <n v="195"/>
    <x v="1"/>
    <x v="0"/>
    <x v="0"/>
    <s v="FestiveRadiance"/>
  </r>
  <r>
    <x v="95"/>
    <x v="2"/>
    <s v="2024-10-02"/>
    <x v="2"/>
    <s v="Check out our latest text on instagram!"/>
    <n v="3432"/>
    <x v="86"/>
    <n v="123"/>
    <n v="54912"/>
    <n v="4301.0022399475529"/>
    <n v="4424"/>
    <n v="53916"/>
    <n v="264"/>
    <x v="1"/>
    <x v="0"/>
    <x v="0"/>
    <s v="FestiveRadiance"/>
  </r>
  <r>
    <x v="96"/>
    <x v="3"/>
    <s v="2025-04-07"/>
    <x v="5"/>
    <s v="Check out our latest reel on facebook!"/>
    <n v="3718"/>
    <x v="87"/>
    <n v="310"/>
    <n v="70642"/>
    <n v="4103.0043883242261"/>
    <n v="4413"/>
    <n v="69749"/>
    <n v="233"/>
    <x v="0"/>
    <x v="0"/>
    <x v="0"/>
    <s v="FestiveRadiance"/>
  </r>
  <r>
    <x v="97"/>
    <x v="0"/>
    <s v="2024-08-31"/>
    <x v="3"/>
    <s v="Check out our latest image on twitter!"/>
    <n v="3170"/>
    <x v="88"/>
    <n v="379"/>
    <n v="19020"/>
    <n v="4027.0199263932705"/>
    <n v="4406"/>
    <n v="18559"/>
    <n v="240"/>
    <x v="2"/>
    <x v="0"/>
    <x v="0"/>
    <m/>
  </r>
  <r>
    <x v="98"/>
    <x v="3"/>
    <s v="2025-03-24"/>
    <x v="5"/>
    <s v="Check out our latest reel on facebook!"/>
    <n v="3360"/>
    <x v="89"/>
    <n v="500"/>
    <n v="60480"/>
    <n v="3885.0082671957671"/>
    <n v="4385"/>
    <n v="59610"/>
    <n v="192"/>
    <x v="0"/>
    <x v="0"/>
    <x v="0"/>
    <s v="SummerSplash"/>
  </r>
  <r>
    <x v="99"/>
    <x v="0"/>
    <s v="2024-07-28"/>
    <x v="3"/>
    <s v="Check out our latest image on twitter!"/>
    <n v="3215"/>
    <x v="59"/>
    <n v="202"/>
    <n v="32150"/>
    <n v="4175.0062830482111"/>
    <n v="4377"/>
    <n v="31404"/>
    <n v="251"/>
    <x v="1"/>
    <x v="0"/>
    <x v="0"/>
    <s v="SummerSplash"/>
  </r>
  <r>
    <x v="100"/>
    <x v="2"/>
    <s v="2024-08-05"/>
    <x v="1"/>
    <s v="Check out our latest story on instagram!"/>
    <n v="3601"/>
    <x v="90"/>
    <n v="75"/>
    <n v="21606"/>
    <n v="4296.0034712579836"/>
    <n v="4371"/>
    <n v="21454"/>
    <n v="172"/>
    <x v="1"/>
    <x v="0"/>
    <x v="0"/>
    <s v="FestiveRadiance"/>
  </r>
  <r>
    <x v="101"/>
    <x v="3"/>
    <s v="2024-11-25"/>
    <x v="3"/>
    <s v="Check out our latest image on facebook!"/>
    <n v="3564"/>
    <x v="91"/>
    <n v="177"/>
    <n v="60588"/>
    <n v="4193.0029213705684"/>
    <n v="4370"/>
    <n v="59627"/>
    <n v="92"/>
    <x v="0"/>
    <x v="0"/>
    <x v="0"/>
    <m/>
  </r>
  <r>
    <x v="102"/>
    <x v="1"/>
    <s v="2024-12-03"/>
    <x v="2"/>
    <s v="Check out our latest text on youtube!"/>
    <n v="3711"/>
    <x v="92"/>
    <n v="290"/>
    <n v="48243"/>
    <n v="4063.0060112347905"/>
    <n v="4353"/>
    <n v="47579"/>
    <n v="11"/>
    <x v="0"/>
    <x v="0"/>
    <x v="0"/>
    <s v="SummerSplash"/>
  </r>
  <r>
    <x v="103"/>
    <x v="1"/>
    <s v="2025-03-18"/>
    <x v="5"/>
    <s v="Check out our latest reel on youtube!"/>
    <n v="3704"/>
    <x v="93"/>
    <n v="458"/>
    <n v="25928"/>
    <n v="3890.0176643011418"/>
    <n v="4348"/>
    <n v="25081"/>
    <n v="131"/>
    <x v="0"/>
    <x v="0"/>
    <x v="0"/>
    <m/>
  </r>
  <r>
    <x v="104"/>
    <x v="0"/>
    <s v="2024-06-24"/>
    <x v="4"/>
    <s v="Check out our latest carousel on twitter!"/>
    <n v="3860"/>
    <x v="94"/>
    <n v="279"/>
    <n v="61760"/>
    <n v="4061.0045174870465"/>
    <n v="4340"/>
    <n v="61660"/>
    <n v="235"/>
    <x v="0"/>
    <x v="0"/>
    <x v="0"/>
    <s v="FestiveRadiance"/>
  </r>
  <r>
    <x v="105"/>
    <x v="3"/>
    <s v="2025-01-06"/>
    <x v="4"/>
    <s v="Check out our latest carousel on facebook!"/>
    <n v="3024"/>
    <x v="5"/>
    <n v="350"/>
    <n v="24192"/>
    <n v="3949.0144675925926"/>
    <n v="4299"/>
    <n v="23518"/>
    <n v="36"/>
    <x v="1"/>
    <x v="0"/>
    <x v="0"/>
    <s v="FestiveRadiance"/>
  </r>
  <r>
    <x v="106"/>
    <x v="0"/>
    <s v="2024-10-04"/>
    <x v="5"/>
    <s v="Check out our latest reel on twitter!"/>
    <n v="4187"/>
    <x v="95"/>
    <n v="31"/>
    <n v="66992"/>
    <n v="4253.0004627418202"/>
    <n v="4284"/>
    <n v="66614"/>
    <n v="62"/>
    <x v="2"/>
    <x v="0"/>
    <x v="0"/>
    <m/>
  </r>
  <r>
    <x v="107"/>
    <x v="1"/>
    <s v="2024-12-03"/>
    <x v="0"/>
    <s v="Check out our latest video on youtube!"/>
    <n v="3809"/>
    <x v="96"/>
    <n v="200"/>
    <n v="34281"/>
    <n v="4082.005834135527"/>
    <n v="4282"/>
    <n v="33534"/>
    <n v="83"/>
    <x v="1"/>
    <x v="0"/>
    <x v="0"/>
    <s v="SummerSplash"/>
  </r>
  <r>
    <x v="108"/>
    <x v="0"/>
    <s v="2024-08-08"/>
    <x v="1"/>
    <s v="Check out our latest story on twitter!"/>
    <n v="3649"/>
    <x v="97"/>
    <n v="413"/>
    <n v="25543"/>
    <n v="3864.0161688133735"/>
    <n v="4277"/>
    <n v="24963"/>
    <n v="167"/>
    <x v="2"/>
    <x v="0"/>
    <x v="0"/>
    <s v="NewYearRefresh"/>
  </r>
  <r>
    <x v="109"/>
    <x v="3"/>
    <s v="2024-08-27"/>
    <x v="5"/>
    <s v="Check out our latest reel on facebook!"/>
    <n v="3960"/>
    <x v="98"/>
    <n v="8"/>
    <n v="35640"/>
    <n v="4226.0002244668913"/>
    <n v="4234"/>
    <n v="34850"/>
    <n v="208"/>
    <x v="2"/>
    <x v="3"/>
    <x v="2"/>
    <m/>
  </r>
  <r>
    <x v="110"/>
    <x v="3"/>
    <s v="2024-10-31"/>
    <x v="4"/>
    <s v="Check out our latest carousel on facebook!"/>
    <n v="2945"/>
    <x v="99"/>
    <n v="355"/>
    <n v="23560"/>
    <n v="3875.0150679117146"/>
    <n v="4230"/>
    <n v="23275"/>
    <n v="256"/>
    <x v="0"/>
    <x v="0"/>
    <x v="0"/>
    <s v="FestiveRadiance"/>
  </r>
  <r>
    <x v="111"/>
    <x v="3"/>
    <s v="2024-06-22"/>
    <x v="2"/>
    <s v="Check out our latest text on facebook!"/>
    <n v="3828"/>
    <x v="100"/>
    <n v="253"/>
    <n v="30624"/>
    <n v="3976.008261494253"/>
    <n v="4229"/>
    <n v="30229"/>
    <n v="235"/>
    <x v="1"/>
    <x v="0"/>
    <x v="0"/>
    <m/>
  </r>
  <r>
    <x v="112"/>
    <x v="3"/>
    <s v="2024-08-26"/>
    <x v="2"/>
    <s v="Check out our latest text on facebook!"/>
    <n v="3452"/>
    <x v="101"/>
    <n v="360"/>
    <n v="55232"/>
    <n v="3829.0065179606027"/>
    <n v="4189"/>
    <n v="55075"/>
    <n v="87"/>
    <x v="2"/>
    <x v="0"/>
    <x v="0"/>
    <s v="NewYearRefresh"/>
  </r>
  <r>
    <x v="113"/>
    <x v="0"/>
    <s v="2025-01-01"/>
    <x v="4"/>
    <s v="Check out our latest carousel on twitter!"/>
    <n v="3535"/>
    <x v="102"/>
    <n v="152"/>
    <n v="53025"/>
    <n v="4029.0028665723717"/>
    <n v="4181"/>
    <n v="52791"/>
    <n v="44"/>
    <x v="0"/>
    <x v="0"/>
    <x v="0"/>
    <s v="DailyWellness"/>
  </r>
  <r>
    <x v="114"/>
    <x v="3"/>
    <s v="2025-04-01"/>
    <x v="1"/>
    <s v="Check out our latest story on facebook!"/>
    <n v="3430"/>
    <x v="103"/>
    <n v="164"/>
    <n v="48020"/>
    <n v="3996.0034152436483"/>
    <n v="4160"/>
    <n v="47305"/>
    <n v="120"/>
    <x v="2"/>
    <x v="0"/>
    <x v="0"/>
    <m/>
  </r>
  <r>
    <x v="115"/>
    <x v="2"/>
    <s v="2024-11-21"/>
    <x v="4"/>
    <s v="Check out our latest carousel on instagram!"/>
    <n v="3773"/>
    <x v="104"/>
    <n v="38"/>
    <n v="71687"/>
    <n v="4072.0005300821626"/>
    <n v="4110"/>
    <n v="71447"/>
    <n v="286"/>
    <x v="2"/>
    <x v="0"/>
    <x v="0"/>
    <s v="SummerSplash"/>
  </r>
  <r>
    <x v="116"/>
    <x v="3"/>
    <s v="2024-06-20"/>
    <x v="0"/>
    <s v="Check out our latest video on facebook!"/>
    <n v="3798"/>
    <x v="105"/>
    <n v="279"/>
    <n v="75960"/>
    <n v="3829.003672985782"/>
    <n v="4108"/>
    <n v="75813"/>
    <n v="266"/>
    <x v="0"/>
    <x v="0"/>
    <x v="0"/>
    <s v="SummerSplash"/>
  </r>
  <r>
    <x v="117"/>
    <x v="1"/>
    <s v="2025-01-15"/>
    <x v="5"/>
    <s v="Check out our latest reel on youtube!"/>
    <n v="3774"/>
    <x v="106"/>
    <n v="39"/>
    <n v="60384"/>
    <n v="4013.0006458664548"/>
    <n v="4052"/>
    <n v="59490"/>
    <n v="241"/>
    <x v="0"/>
    <x v="0"/>
    <x v="0"/>
    <s v="NewYearRefresh"/>
  </r>
  <r>
    <x v="118"/>
    <x v="3"/>
    <s v="2024-06-11"/>
    <x v="3"/>
    <s v="Check out our latest image on facebook!"/>
    <n v="3689"/>
    <x v="107"/>
    <n v="306"/>
    <n v="40579"/>
    <n v="3737.0075408462503"/>
    <n v="4043"/>
    <n v="39588"/>
    <n v="212"/>
    <x v="1"/>
    <x v="0"/>
    <x v="0"/>
    <s v="FestiveRadiance"/>
  </r>
  <r>
    <x v="119"/>
    <x v="2"/>
    <s v="2024-11-30"/>
    <x v="0"/>
    <s v="Check out our latest video on instagram!"/>
    <n v="3775"/>
    <x v="108"/>
    <n v="239"/>
    <n v="33975"/>
    <n v="3791.0070345842532"/>
    <n v="4030"/>
    <n v="33310"/>
    <n v="271"/>
    <x v="2"/>
    <x v="0"/>
    <x v="0"/>
    <s v="FestiveRadiance"/>
  </r>
  <r>
    <x v="120"/>
    <x v="0"/>
    <s v="2025-04-24"/>
    <x v="5"/>
    <s v="Check out our latest reel on twitter!"/>
    <n v="3731"/>
    <x v="109"/>
    <n v="135"/>
    <n v="55965"/>
    <n v="3846.0024122219243"/>
    <n v="3981"/>
    <n v="55436"/>
    <n v="103"/>
    <x v="0"/>
    <x v="0"/>
    <x v="0"/>
    <s v="SummerSplash"/>
  </r>
  <r>
    <x v="121"/>
    <x v="2"/>
    <s v="2024-10-21"/>
    <x v="5"/>
    <s v="Check out our latest reel on instagram!"/>
    <n v="3256"/>
    <x v="110"/>
    <n v="266"/>
    <n v="26048"/>
    <n v="3715.0102119164621"/>
    <n v="3981"/>
    <n v="25529"/>
    <n v="143"/>
    <x v="0"/>
    <x v="0"/>
    <x v="0"/>
    <s v="FestiveRadiance"/>
  </r>
  <r>
    <x v="122"/>
    <x v="1"/>
    <s v="2024-06-05"/>
    <x v="5"/>
    <s v="Check out our latest reel on youtube!"/>
    <n v="3065"/>
    <x v="8"/>
    <n v="142"/>
    <n v="18390"/>
    <n v="3837.0077215878196"/>
    <n v="3979"/>
    <n v="17875"/>
    <n v="200"/>
    <x v="1"/>
    <x v="1"/>
    <x v="0"/>
    <m/>
  </r>
  <r>
    <x v="123"/>
    <x v="3"/>
    <s v="2024-07-15"/>
    <x v="5"/>
    <s v="Check out our latest reel on facebook!"/>
    <n v="3663"/>
    <x v="111"/>
    <n v="295"/>
    <n v="51282"/>
    <n v="3680.0057525057523"/>
    <n v="3975"/>
    <n v="50567"/>
    <n v="84"/>
    <x v="1"/>
    <x v="0"/>
    <x v="0"/>
    <s v="NewYearRefresh"/>
  </r>
  <r>
    <x v="124"/>
    <x v="2"/>
    <s v="2024-07-10"/>
    <x v="4"/>
    <s v="Check out our latest carousel on instagram!"/>
    <n v="3099"/>
    <x v="11"/>
    <n v="171"/>
    <n v="43386"/>
    <n v="3793.0039413635736"/>
    <n v="3964"/>
    <n v="42921"/>
    <n v="52"/>
    <x v="0"/>
    <x v="0"/>
    <x v="0"/>
    <s v="NewYearRefresh"/>
  </r>
  <r>
    <x v="125"/>
    <x v="1"/>
    <s v="2024-09-25"/>
    <x v="0"/>
    <s v="Check out our latest video on youtube!"/>
    <n v="3389"/>
    <x v="112"/>
    <n v="229"/>
    <n v="20334"/>
    <n v="3733.0112619258384"/>
    <n v="3962"/>
    <n v="19443"/>
    <n v="228"/>
    <x v="2"/>
    <x v="0"/>
    <x v="0"/>
    <s v="NewYearRefresh"/>
  </r>
  <r>
    <x v="126"/>
    <x v="3"/>
    <s v="2025-04-06"/>
    <x v="3"/>
    <s v="Check out our latest image on facebook!"/>
    <n v="3090"/>
    <x v="71"/>
    <n v="164"/>
    <n v="49440"/>
    <n v="3787.0033171521036"/>
    <n v="3951"/>
    <n v="48524"/>
    <n v="25"/>
    <x v="1"/>
    <x v="3"/>
    <x v="2"/>
    <s v="FestiveRadiance"/>
  </r>
  <r>
    <x v="127"/>
    <x v="1"/>
    <s v="2024-10-12"/>
    <x v="1"/>
    <s v="Check out our latest story on youtube!"/>
    <n v="3641"/>
    <x v="113"/>
    <n v="46"/>
    <n v="40051"/>
    <n v="3867.0011485356172"/>
    <n v="3913"/>
    <n v="39319"/>
    <n v="296"/>
    <x v="1"/>
    <x v="0"/>
    <x v="0"/>
    <s v="DailyWellness"/>
  </r>
  <r>
    <x v="128"/>
    <x v="2"/>
    <s v="2024-07-26"/>
    <x v="3"/>
    <s v="Check out our latest image on instagram!"/>
    <n v="3559"/>
    <x v="114"/>
    <n v="289"/>
    <n v="35590"/>
    <n v="3618.0081202584997"/>
    <n v="3907"/>
    <n v="35105"/>
    <n v="122"/>
    <x v="1"/>
    <x v="0"/>
    <x v="0"/>
    <s v="SummerSplash"/>
  </r>
  <r>
    <x v="129"/>
    <x v="2"/>
    <s v="2024-11-08"/>
    <x v="2"/>
    <s v="Check out our latest text on instagram!"/>
    <n v="3182"/>
    <x v="115"/>
    <n v="160"/>
    <n v="57276"/>
    <n v="3741.0027934911654"/>
    <n v="3901"/>
    <n v="56890"/>
    <n v="163"/>
    <x v="2"/>
    <x v="0"/>
    <x v="0"/>
    <s v="DailyWellness"/>
  </r>
  <r>
    <x v="130"/>
    <x v="1"/>
    <s v="2024-06-24"/>
    <x v="0"/>
    <s v="Check out our latest video on youtube!"/>
    <n v="2949"/>
    <x v="116"/>
    <n v="403"/>
    <n v="44235"/>
    <n v="3425.0091104329149"/>
    <n v="3828"/>
    <n v="43705"/>
    <n v="135"/>
    <x v="0"/>
    <x v="0"/>
    <x v="0"/>
    <s v="FestiveRadiance"/>
  </r>
  <r>
    <x v="131"/>
    <x v="1"/>
    <s v="2025-01-27"/>
    <x v="2"/>
    <s v="Check out our latest text on youtube!"/>
    <n v="3428"/>
    <x v="117"/>
    <n v="85"/>
    <n v="58276"/>
    <n v="3733.0014585764293"/>
    <n v="3818"/>
    <n v="58052"/>
    <n v="242"/>
    <x v="1"/>
    <x v="4"/>
    <x v="0"/>
    <s v="DailyWellness"/>
  </r>
  <r>
    <x v="132"/>
    <x v="3"/>
    <s v="2024-12-18"/>
    <x v="4"/>
    <s v="Check out our latest carousel on facebook!"/>
    <n v="2946"/>
    <x v="118"/>
    <n v="367"/>
    <n v="29460"/>
    <n v="3444.0124575695859"/>
    <n v="3811"/>
    <n v="28527"/>
    <n v="60"/>
    <x v="2"/>
    <x v="0"/>
    <x v="0"/>
    <s v="NewYearRefresh"/>
  </r>
  <r>
    <x v="133"/>
    <x v="3"/>
    <s v="2024-11-01"/>
    <x v="0"/>
    <s v="Check out our latest video on facebook!"/>
    <n v="3371"/>
    <x v="119"/>
    <n v="327"/>
    <n v="50565"/>
    <n v="3477.0064669237613"/>
    <n v="3804"/>
    <n v="49816"/>
    <n v="176"/>
    <x v="2"/>
    <x v="0"/>
    <x v="0"/>
    <s v="SummerSplash"/>
  </r>
  <r>
    <x v="134"/>
    <x v="3"/>
    <s v="2024-08-14"/>
    <x v="4"/>
    <s v="Check out our latest carousel on facebook!"/>
    <n v="3073"/>
    <x v="120"/>
    <n v="174"/>
    <n v="52241"/>
    <n v="3626.0033307172525"/>
    <n v="3800"/>
    <n v="51605"/>
    <n v="246"/>
    <x v="1"/>
    <x v="0"/>
    <x v="0"/>
    <s v="NewYearRefresh"/>
  </r>
  <r>
    <x v="135"/>
    <x v="1"/>
    <s v="2025-04-05"/>
    <x v="5"/>
    <s v="Check out our latest reel on youtube!"/>
    <n v="3009"/>
    <x v="121"/>
    <n v="358"/>
    <n v="42126"/>
    <n v="3422.0084983145803"/>
    <n v="3780"/>
    <n v="41309"/>
    <n v="211"/>
    <x v="2"/>
    <x v="0"/>
    <x v="0"/>
    <s v="FestiveRadiance"/>
  </r>
  <r>
    <x v="136"/>
    <x v="3"/>
    <s v="2025-05-01"/>
    <x v="4"/>
    <s v="Check out our latest carousel on facebook!"/>
    <n v="2696"/>
    <x v="122"/>
    <n v="443"/>
    <n v="45832"/>
    <n v="3324.0096657357303"/>
    <n v="3767"/>
    <n v="45632"/>
    <n v="248"/>
    <x v="1"/>
    <x v="0"/>
    <x v="0"/>
    <s v="DailyWellness"/>
  </r>
  <r>
    <x v="137"/>
    <x v="0"/>
    <s v="2024-11-12"/>
    <x v="3"/>
    <s v="Check out our latest image on twitter!"/>
    <n v="3338"/>
    <x v="123"/>
    <n v="118"/>
    <n v="60084"/>
    <n v="3615.0019639171828"/>
    <n v="3733"/>
    <n v="59842"/>
    <n v="252"/>
    <x v="0"/>
    <x v="0"/>
    <x v="0"/>
    <m/>
  </r>
  <r>
    <x v="138"/>
    <x v="0"/>
    <s v="2025-05-09"/>
    <x v="5"/>
    <s v="Check out our latest reel on twitter!"/>
    <n v="3367"/>
    <x v="124"/>
    <n v="57"/>
    <n v="63973"/>
    <n v="3669.000891000891"/>
    <n v="3726"/>
    <n v="63789"/>
    <n v="157"/>
    <x v="2"/>
    <x v="0"/>
    <x v="0"/>
    <s v="FestiveRadiance"/>
  </r>
  <r>
    <x v="139"/>
    <x v="2"/>
    <s v="2024-08-19"/>
    <x v="5"/>
    <s v="Check out our latest reel on instagram!"/>
    <n v="3000"/>
    <x v="125"/>
    <n v="325"/>
    <n v="36000"/>
    <n v="3382.0090277777776"/>
    <n v="3707"/>
    <n v="35819"/>
    <n v="19"/>
    <x v="2"/>
    <x v="0"/>
    <x v="0"/>
    <s v="SummerSplash"/>
  </r>
  <r>
    <x v="140"/>
    <x v="1"/>
    <s v="2024-09-02"/>
    <x v="4"/>
    <s v="Check out our latest carousel on youtube!"/>
    <n v="2551"/>
    <x v="126"/>
    <n v="205"/>
    <n v="30612"/>
    <n v="3466.0066967202406"/>
    <n v="3671"/>
    <n v="30360"/>
    <n v="227"/>
    <x v="0"/>
    <x v="0"/>
    <x v="0"/>
    <s v="FestiveRadiance"/>
  </r>
  <r>
    <x v="141"/>
    <x v="0"/>
    <s v="2025-03-19"/>
    <x v="0"/>
    <s v="Check out our latest video on twitter!"/>
    <n v="3160"/>
    <x v="127"/>
    <n v="297"/>
    <n v="44240"/>
    <n v="3364.0067133815551"/>
    <n v="3661"/>
    <n v="43666"/>
    <n v="49"/>
    <x v="2"/>
    <x v="1"/>
    <x v="0"/>
    <s v="DailyWellness"/>
  </r>
  <r>
    <x v="142"/>
    <x v="0"/>
    <s v="2024-10-21"/>
    <x v="0"/>
    <s v="Check out our latest video on twitter!"/>
    <n v="2825"/>
    <x v="128"/>
    <n v="295"/>
    <n v="45200"/>
    <n v="3360.0065265486724"/>
    <n v="3655"/>
    <n v="44739"/>
    <n v="169"/>
    <x v="0"/>
    <x v="0"/>
    <x v="0"/>
    <s v="SummerSplash"/>
  </r>
  <r>
    <x v="143"/>
    <x v="0"/>
    <s v="2025-02-24"/>
    <x v="4"/>
    <s v="Check out our latest carousel on twitter!"/>
    <n v="2704"/>
    <x v="129"/>
    <n v="153"/>
    <n v="21632"/>
    <n v="3456.0070728550295"/>
    <n v="3609"/>
    <n v="20792"/>
    <n v="127"/>
    <x v="2"/>
    <x v="0"/>
    <x v="0"/>
    <m/>
  </r>
  <r>
    <x v="144"/>
    <x v="3"/>
    <s v="2025-05-14"/>
    <x v="2"/>
    <s v="Check out our latest text on facebook!"/>
    <n v="2634"/>
    <x v="130"/>
    <n v="241"/>
    <n v="28974"/>
    <n v="3360.0083178021673"/>
    <n v="3601"/>
    <n v="28102"/>
    <n v="277"/>
    <x v="1"/>
    <x v="0"/>
    <x v="0"/>
    <s v="SummerSplash"/>
  </r>
  <r>
    <x v="145"/>
    <x v="1"/>
    <s v="2025-03-22"/>
    <x v="3"/>
    <s v="Check out our latest image on youtube!"/>
    <n v="3166"/>
    <x v="131"/>
    <n v="341"/>
    <n v="56988"/>
    <n v="3256.0059837158701"/>
    <n v="3597"/>
    <n v="56125"/>
    <n v="135"/>
    <x v="1"/>
    <x v="0"/>
    <x v="0"/>
    <s v="FestiveRadiance"/>
  </r>
  <r>
    <x v="146"/>
    <x v="1"/>
    <s v="2025-02-17"/>
    <x v="5"/>
    <s v="Check out our latest reel on youtube!"/>
    <n v="3138"/>
    <x v="132"/>
    <n v="291"/>
    <n v="28242"/>
    <n v="3261.0103038028469"/>
    <n v="3552"/>
    <n v="27550"/>
    <n v="87"/>
    <x v="0"/>
    <x v="0"/>
    <x v="0"/>
    <s v="DailyWellness"/>
  </r>
  <r>
    <x v="147"/>
    <x v="3"/>
    <s v="2024-08-17"/>
    <x v="3"/>
    <s v="Check out our latest image on facebook!"/>
    <n v="2878"/>
    <x v="133"/>
    <n v="416"/>
    <n v="43170"/>
    <n v="3126.0096363215198"/>
    <n v="3542"/>
    <n v="42667"/>
    <n v="75"/>
    <x v="2"/>
    <x v="0"/>
    <x v="0"/>
    <s v="NewYearRefresh"/>
  </r>
  <r>
    <x v="148"/>
    <x v="0"/>
    <s v="2025-04-10"/>
    <x v="4"/>
    <s v="Check out our latest carousel on twitter!"/>
    <n v="3128"/>
    <x v="134"/>
    <n v="197"/>
    <n v="59432"/>
    <n v="3339.0033147126128"/>
    <n v="3536"/>
    <n v="59182"/>
    <n v="238"/>
    <x v="1"/>
    <x v="0"/>
    <x v="0"/>
    <m/>
  </r>
  <r>
    <x v="149"/>
    <x v="2"/>
    <s v="2024-10-09"/>
    <x v="4"/>
    <s v="Check out our latest carousel on instagram!"/>
    <n v="3068"/>
    <x v="135"/>
    <n v="329"/>
    <n v="39884"/>
    <n v="3205.0082489218735"/>
    <n v="3534"/>
    <n v="39404"/>
    <n v="266"/>
    <x v="1"/>
    <x v="0"/>
    <x v="0"/>
    <s v="FestiveRadiance"/>
  </r>
  <r>
    <x v="150"/>
    <x v="2"/>
    <s v="2024-08-20"/>
    <x v="5"/>
    <s v="Check out our latest reel on instagram!"/>
    <n v="2603"/>
    <x v="136"/>
    <n v="205"/>
    <n v="13015"/>
    <n v="3293.0157510564732"/>
    <n v="3498"/>
    <n v="12130"/>
    <n v="20"/>
    <x v="2"/>
    <x v="0"/>
    <x v="0"/>
    <s v="FestiveRadiance"/>
  </r>
  <r>
    <x v="151"/>
    <x v="0"/>
    <s v="2024-12-11"/>
    <x v="2"/>
    <s v="Check out our latest text on twitter!"/>
    <n v="3239"/>
    <x v="137"/>
    <n v="211"/>
    <n v="22673"/>
    <n v="3282.0093062232613"/>
    <n v="3493"/>
    <n v="22171"/>
    <n v="230"/>
    <x v="0"/>
    <x v="0"/>
    <x v="0"/>
    <s v="FestiveRadiance"/>
  </r>
  <r>
    <x v="152"/>
    <x v="0"/>
    <s v="2025-01-10"/>
    <x v="3"/>
    <s v="Check out our latest image on twitter!"/>
    <n v="3092"/>
    <x v="119"/>
    <n v="291"/>
    <n v="27828"/>
    <n v="3198.010457093575"/>
    <n v="3489"/>
    <n v="27217"/>
    <n v="102"/>
    <x v="2"/>
    <x v="0"/>
    <x v="0"/>
    <m/>
  </r>
  <r>
    <x v="153"/>
    <x v="0"/>
    <s v="2025-03-02"/>
    <x v="3"/>
    <s v="Check out our latest image on twitter!"/>
    <n v="2358"/>
    <x v="138"/>
    <n v="344"/>
    <n v="35370"/>
    <n v="3142.0097257562907"/>
    <n v="3486"/>
    <n v="34475"/>
    <n v="216"/>
    <x v="0"/>
    <x v="0"/>
    <x v="0"/>
    <m/>
  </r>
  <r>
    <x v="154"/>
    <x v="1"/>
    <s v="2024-06-06"/>
    <x v="5"/>
    <s v="Check out our latest reel on youtube!"/>
    <n v="2728"/>
    <x v="139"/>
    <n v="215"/>
    <n v="40920"/>
    <n v="3261.0052541544478"/>
    <n v="3476"/>
    <n v="40816"/>
    <n v="137"/>
    <x v="2"/>
    <x v="0"/>
    <x v="0"/>
    <s v="FestiveRadiance"/>
  </r>
  <r>
    <x v="155"/>
    <x v="0"/>
    <s v="2025-02-11"/>
    <x v="0"/>
    <s v="Check out our latest video on twitter!"/>
    <n v="3440"/>
    <x v="140"/>
    <n v="20"/>
    <n v="58480"/>
    <n v="3453.0003419972641"/>
    <n v="3473"/>
    <n v="58146"/>
    <n v="210"/>
    <x v="0"/>
    <x v="5"/>
    <x v="0"/>
    <s v="DailyWellness"/>
  </r>
  <r>
    <x v="156"/>
    <x v="1"/>
    <s v="2024-09-29"/>
    <x v="5"/>
    <s v="Check out our latest reel on youtube!"/>
    <n v="2936"/>
    <x v="141"/>
    <n v="44"/>
    <n v="38168"/>
    <n v="3375.0011527981555"/>
    <n v="3419"/>
    <n v="37571"/>
    <n v="22"/>
    <x v="1"/>
    <x v="0"/>
    <x v="0"/>
    <s v="DailyWellness"/>
  </r>
  <r>
    <x v="157"/>
    <x v="2"/>
    <s v="2025-01-01"/>
    <x v="4"/>
    <s v="Check out our latest carousel on instagram!"/>
    <n v="2234"/>
    <x v="142"/>
    <n v="432"/>
    <n v="11170"/>
    <n v="2887.0386750223815"/>
    <n v="3319"/>
    <n v="10569"/>
    <n v="198"/>
    <x v="2"/>
    <x v="0"/>
    <x v="0"/>
    <s v="NewYearRefresh"/>
  </r>
  <r>
    <x v="158"/>
    <x v="3"/>
    <s v="2024-11-12"/>
    <x v="2"/>
    <s v="Check out our latest text on facebook!"/>
    <n v="2418"/>
    <x v="143"/>
    <n v="54"/>
    <n v="43524"/>
    <n v="3172.001240694789"/>
    <n v="3226"/>
    <n v="42743"/>
    <n v="182"/>
    <x v="1"/>
    <x v="0"/>
    <x v="0"/>
    <s v="SummerSplash"/>
  </r>
  <r>
    <x v="159"/>
    <x v="3"/>
    <s v="2024-08-26"/>
    <x v="3"/>
    <s v="Check out our latest image on facebook!"/>
    <n v="2581"/>
    <x v="144"/>
    <n v="117"/>
    <n v="23229"/>
    <n v="3098.005036807439"/>
    <n v="3215"/>
    <n v="22331"/>
    <n v="70"/>
    <x v="2"/>
    <x v="0"/>
    <x v="0"/>
    <s v="NewYearRefresh"/>
  </r>
  <r>
    <x v="160"/>
    <x v="3"/>
    <s v="2024-11-28"/>
    <x v="4"/>
    <s v="Check out our latest carousel on facebook!"/>
    <n v="2751"/>
    <x v="145"/>
    <n v="430"/>
    <n v="44016"/>
    <n v="2784.0097691748456"/>
    <n v="3214"/>
    <n v="43415"/>
    <n v="129"/>
    <x v="2"/>
    <x v="0"/>
    <x v="0"/>
    <m/>
  </r>
  <r>
    <x v="161"/>
    <x v="2"/>
    <s v="2025-02-25"/>
    <x v="0"/>
    <s v="Check out our latest video on instagram!"/>
    <n v="3095"/>
    <x v="146"/>
    <n v="78"/>
    <n v="55710"/>
    <n v="3134.0014001077006"/>
    <n v="3212"/>
    <n v="54808"/>
    <n v="93"/>
    <x v="1"/>
    <x v="0"/>
    <x v="0"/>
    <m/>
  </r>
  <r>
    <x v="162"/>
    <x v="3"/>
    <s v="2024-07-31"/>
    <x v="0"/>
    <s v="Check out our latest video on facebook!"/>
    <n v="3008"/>
    <x v="147"/>
    <n v="37"/>
    <n v="15040"/>
    <n v="3102.0024601063828"/>
    <n v="3139"/>
    <n v="14639"/>
    <n v="277"/>
    <x v="2"/>
    <x v="0"/>
    <x v="0"/>
    <m/>
  </r>
  <r>
    <x v="163"/>
    <x v="2"/>
    <s v="2025-02-07"/>
    <x v="5"/>
    <s v="Check out our latest reel on instagram!"/>
    <n v="1970"/>
    <x v="148"/>
    <n v="478"/>
    <n v="9850"/>
    <n v="2645.0485279187819"/>
    <n v="3123"/>
    <n v="8924"/>
    <n v="117"/>
    <x v="2"/>
    <x v="0"/>
    <x v="0"/>
    <m/>
  </r>
  <r>
    <x v="164"/>
    <x v="2"/>
    <s v="2024-11-07"/>
    <x v="3"/>
    <s v="Check out our latest image on instagram!"/>
    <n v="2647"/>
    <x v="149"/>
    <n v="170"/>
    <n v="18529"/>
    <n v="2951.009174807059"/>
    <n v="3121"/>
    <n v="17841"/>
    <n v="46"/>
    <x v="2"/>
    <x v="0"/>
    <x v="0"/>
    <s v="NewYearRefresh"/>
  </r>
  <r>
    <x v="165"/>
    <x v="1"/>
    <s v="2024-10-29"/>
    <x v="2"/>
    <s v="Check out our latest text on youtube!"/>
    <n v="2746"/>
    <x v="150"/>
    <n v="203"/>
    <n v="32952"/>
    <n v="2902.0061604758434"/>
    <n v="3105"/>
    <n v="32147"/>
    <n v="147"/>
    <x v="1"/>
    <x v="0"/>
    <x v="0"/>
    <s v="SummerSplash"/>
  </r>
  <r>
    <x v="166"/>
    <x v="2"/>
    <s v="2024-06-13"/>
    <x v="1"/>
    <s v="Check out our latest story on instagram!"/>
    <n v="2103"/>
    <x v="151"/>
    <n v="103"/>
    <n v="39957"/>
    <n v="2995.0025777711039"/>
    <n v="3098"/>
    <n v="39466"/>
    <n v="28"/>
    <x v="2"/>
    <x v="0"/>
    <x v="0"/>
    <m/>
  </r>
  <r>
    <x v="167"/>
    <x v="0"/>
    <s v="2024-10-05"/>
    <x v="1"/>
    <s v="Check out our latest story on twitter!"/>
    <n v="1957"/>
    <x v="152"/>
    <n v="238"/>
    <n v="17613"/>
    <n v="2834.0135127462668"/>
    <n v="3072"/>
    <n v="16865"/>
    <n v="297"/>
    <x v="2"/>
    <x v="0"/>
    <x v="0"/>
    <s v="NewYearRefresh"/>
  </r>
  <r>
    <x v="168"/>
    <x v="1"/>
    <s v="2025-03-13"/>
    <x v="4"/>
    <s v="Check out our latest carousel on youtube!"/>
    <n v="1686"/>
    <x v="153"/>
    <n v="472"/>
    <n v="18546"/>
    <n v="2590.0254502318558"/>
    <n v="3062"/>
    <n v="18171"/>
    <n v="52"/>
    <x v="2"/>
    <x v="0"/>
    <x v="0"/>
    <s v="FestiveRadiance"/>
  </r>
  <r>
    <x v="169"/>
    <x v="3"/>
    <s v="2024-12-09"/>
    <x v="3"/>
    <s v="Check out our latest image on facebook!"/>
    <n v="1841"/>
    <x v="154"/>
    <n v="342"/>
    <n v="34979"/>
    <n v="2692.0097772949484"/>
    <n v="3034"/>
    <n v="34154"/>
    <n v="255"/>
    <x v="2"/>
    <x v="0"/>
    <x v="0"/>
    <s v="DailyWellness"/>
  </r>
  <r>
    <x v="170"/>
    <x v="2"/>
    <s v="2024-12-08"/>
    <x v="1"/>
    <s v="Check out our latest story on instagram!"/>
    <n v="2610"/>
    <x v="155"/>
    <n v="288"/>
    <n v="15660"/>
    <n v="2736.0183908045979"/>
    <n v="3024"/>
    <n v="15145"/>
    <n v="73"/>
    <x v="1"/>
    <x v="0"/>
    <x v="0"/>
    <m/>
  </r>
  <r>
    <x v="171"/>
    <x v="1"/>
    <s v="2024-11-23"/>
    <x v="3"/>
    <s v="Check out our latest image on youtube!"/>
    <n v="2719"/>
    <x v="111"/>
    <n v="285"/>
    <n v="40785"/>
    <n v="2736.0069878631848"/>
    <n v="3021"/>
    <n v="40281"/>
    <n v="40"/>
    <x v="0"/>
    <x v="0"/>
    <x v="0"/>
    <s v="FestiveRadiance"/>
  </r>
  <r>
    <x v="172"/>
    <x v="3"/>
    <s v="2024-07-21"/>
    <x v="5"/>
    <s v="Check out our latest reel on facebook!"/>
    <n v="1946"/>
    <x v="156"/>
    <n v="377"/>
    <n v="23352"/>
    <n v="2632.0161442274753"/>
    <n v="3009"/>
    <n v="22982"/>
    <n v="213"/>
    <x v="2"/>
    <x v="0"/>
    <x v="0"/>
    <s v="NewYearRefresh"/>
  </r>
  <r>
    <x v="173"/>
    <x v="2"/>
    <s v="2024-12-20"/>
    <x v="4"/>
    <s v="Check out our latest carousel on instagram!"/>
    <n v="2107"/>
    <x v="16"/>
    <n v="349"/>
    <n v="35819"/>
    <n v="2657.0097434322565"/>
    <n v="3006"/>
    <n v="35340"/>
    <n v="191"/>
    <x v="1"/>
    <x v="0"/>
    <x v="0"/>
    <s v="DailyWellness"/>
  </r>
  <r>
    <x v="174"/>
    <x v="1"/>
    <s v="2024-11-30"/>
    <x v="4"/>
    <s v="Check out our latest carousel on youtube!"/>
    <n v="2509"/>
    <x v="157"/>
    <n v="171"/>
    <n v="35126"/>
    <n v="2833.0048681888061"/>
    <n v="3004"/>
    <n v="34685"/>
    <n v="277"/>
    <x v="0"/>
    <x v="0"/>
    <x v="0"/>
    <s v="FestiveRadiance"/>
  </r>
  <r>
    <x v="175"/>
    <x v="0"/>
    <s v="2024-06-10"/>
    <x v="1"/>
    <s v="Check out our latest story on twitter!"/>
    <n v="2164"/>
    <x v="158"/>
    <n v="274"/>
    <n v="28132"/>
    <n v="2713.0097397980949"/>
    <n v="2987"/>
    <n v="27361"/>
    <n v="177"/>
    <x v="0"/>
    <x v="0"/>
    <x v="0"/>
    <s v="DailyWellness"/>
  </r>
  <r>
    <x v="176"/>
    <x v="1"/>
    <s v="2024-07-03"/>
    <x v="1"/>
    <s v="Check out our latest story on youtube!"/>
    <n v="2754"/>
    <x v="159"/>
    <n v="90"/>
    <n v="22032"/>
    <n v="2884.0040849673201"/>
    <n v="2974"/>
    <n v="21288"/>
    <n v="112"/>
    <x v="0"/>
    <x v="0"/>
    <x v="0"/>
    <s v="NewYearRefresh"/>
  </r>
  <r>
    <x v="177"/>
    <x v="0"/>
    <s v="2024-07-21"/>
    <x v="2"/>
    <s v="Check out our latest text on twitter!"/>
    <n v="2147"/>
    <x v="160"/>
    <n v="393"/>
    <n v="17176"/>
    <n v="2577.0228807638564"/>
    <n v="2970"/>
    <n v="16483"/>
    <n v="170"/>
    <x v="0"/>
    <x v="0"/>
    <x v="0"/>
    <m/>
  </r>
  <r>
    <x v="178"/>
    <x v="1"/>
    <s v="2025-05-12"/>
    <x v="5"/>
    <s v="Check out our latest reel on youtube!"/>
    <n v="2795"/>
    <x v="161"/>
    <n v="49"/>
    <n v="53105"/>
    <n v="2900.0009227003106"/>
    <n v="2949"/>
    <n v="52307"/>
    <n v="204"/>
    <x v="0"/>
    <x v="0"/>
    <x v="0"/>
    <s v="NewYearRefresh"/>
  </r>
  <r>
    <x v="179"/>
    <x v="3"/>
    <s v="2024-06-13"/>
    <x v="4"/>
    <s v="Check out our latest carousel on facebook!"/>
    <n v="2200"/>
    <x v="162"/>
    <n v="239"/>
    <n v="37400"/>
    <n v="2704.0063903743317"/>
    <n v="2943"/>
    <n v="36938"/>
    <n v="225"/>
    <x v="2"/>
    <x v="0"/>
    <x v="0"/>
    <s v="FestiveRadiance"/>
  </r>
  <r>
    <x v="180"/>
    <x v="3"/>
    <s v="2024-08-05"/>
    <x v="5"/>
    <s v="Check out our latest reel on facebook!"/>
    <n v="1741"/>
    <x v="163"/>
    <n v="345"/>
    <n v="17410"/>
    <n v="2572.0198161975877"/>
    <n v="2917"/>
    <n v="16844"/>
    <n v="58"/>
    <x v="1"/>
    <x v="0"/>
    <x v="0"/>
    <s v="NewYearRefresh"/>
  </r>
  <r>
    <x v="181"/>
    <x v="2"/>
    <s v="2024-08-12"/>
    <x v="1"/>
    <s v="Check out our latest story on instagram!"/>
    <n v="2404"/>
    <x v="164"/>
    <n v="138"/>
    <n v="19232"/>
    <n v="2767.0071755407653"/>
    <n v="2905"/>
    <n v="18636"/>
    <n v="128"/>
    <x v="1"/>
    <x v="0"/>
    <x v="0"/>
    <s v="DailyWellness"/>
  </r>
  <r>
    <x v="182"/>
    <x v="2"/>
    <s v="2025-02-02"/>
    <x v="1"/>
    <s v="Check out our latest story on instagram!"/>
    <n v="1792"/>
    <x v="165"/>
    <n v="497"/>
    <n v="25088"/>
    <n v="2406.0198102678573"/>
    <n v="2903"/>
    <n v="24675"/>
    <n v="65"/>
    <x v="2"/>
    <x v="0"/>
    <x v="0"/>
    <s v="DailyWellness"/>
  </r>
  <r>
    <x v="183"/>
    <x v="2"/>
    <s v="2025-03-04"/>
    <x v="1"/>
    <s v="Check out our latest story on instagram!"/>
    <n v="1947"/>
    <x v="166"/>
    <n v="101"/>
    <n v="21417"/>
    <n v="2789.0047158799084"/>
    <n v="2890"/>
    <n v="20967"/>
    <n v="186"/>
    <x v="2"/>
    <x v="0"/>
    <x v="0"/>
    <s v="FestiveRadiance"/>
  </r>
  <r>
    <x v="184"/>
    <x v="0"/>
    <s v="2025-01-14"/>
    <x v="3"/>
    <s v="Check out our latest image on twitter!"/>
    <n v="2692"/>
    <x v="109"/>
    <n v="64"/>
    <n v="21536"/>
    <n v="2807.0029717682019"/>
    <n v="2871"/>
    <n v="21120"/>
    <n v="224"/>
    <x v="2"/>
    <x v="0"/>
    <x v="0"/>
    <s v="FestiveRadiance"/>
  </r>
  <r>
    <x v="185"/>
    <x v="3"/>
    <s v="2024-07-15"/>
    <x v="3"/>
    <s v="Check out our latest image on facebook!"/>
    <n v="2291"/>
    <x v="167"/>
    <n v="485"/>
    <n v="18328"/>
    <n v="2369.0264622435616"/>
    <n v="2854"/>
    <n v="18101"/>
    <n v="10"/>
    <x v="1"/>
    <x v="5"/>
    <x v="0"/>
    <s v="FestiveRadiance"/>
  </r>
  <r>
    <x v="186"/>
    <x v="2"/>
    <s v="2024-12-14"/>
    <x v="4"/>
    <s v="Check out our latest carousel on instagram!"/>
    <n v="2174"/>
    <x v="14"/>
    <n v="15"/>
    <n v="13044"/>
    <n v="2832.0011499540019"/>
    <n v="2847"/>
    <n v="12206"/>
    <n v="137"/>
    <x v="0"/>
    <x v="0"/>
    <x v="0"/>
    <s v="NewYearRefresh"/>
  </r>
  <r>
    <x v="187"/>
    <x v="0"/>
    <s v="2025-02-20"/>
    <x v="4"/>
    <s v="Check out our latest carousel on twitter!"/>
    <n v="1877"/>
    <x v="168"/>
    <n v="225"/>
    <n v="11262"/>
    <n v="2622.0199786893982"/>
    <n v="2847"/>
    <n v="10967"/>
    <n v="41"/>
    <x v="1"/>
    <x v="0"/>
    <x v="0"/>
    <s v="DailyWellness"/>
  </r>
  <r>
    <x v="188"/>
    <x v="0"/>
    <s v="2024-06-10"/>
    <x v="1"/>
    <s v="Check out our latest story on twitter!"/>
    <n v="1575"/>
    <x v="29"/>
    <n v="486"/>
    <n v="25200"/>
    <n v="2346.0192857142856"/>
    <n v="2832"/>
    <n v="24826"/>
    <n v="17"/>
    <x v="2"/>
    <x v="0"/>
    <x v="0"/>
    <s v="DailyWellness"/>
  </r>
  <r>
    <x v="189"/>
    <x v="2"/>
    <s v="2024-06-22"/>
    <x v="2"/>
    <s v="Check out our latest text on instagram!"/>
    <n v="2180"/>
    <x v="169"/>
    <n v="387"/>
    <n v="30520"/>
    <n v="2443.0126802096984"/>
    <n v="2830"/>
    <n v="30059"/>
    <n v="174"/>
    <x v="1"/>
    <x v="0"/>
    <x v="0"/>
    <m/>
  </r>
  <r>
    <x v="190"/>
    <x v="3"/>
    <s v="2024-10-08"/>
    <x v="5"/>
    <s v="Check out our latest reel on facebook!"/>
    <n v="1814"/>
    <x v="142"/>
    <n v="363"/>
    <n v="25396"/>
    <n v="2467.0142935895415"/>
    <n v="2830"/>
    <n v="25286"/>
    <n v="39"/>
    <x v="2"/>
    <x v="5"/>
    <x v="0"/>
    <s v="SummerSplash"/>
  </r>
  <r>
    <x v="191"/>
    <x v="3"/>
    <s v="2024-06-11"/>
    <x v="4"/>
    <s v="Check out our latest carousel on facebook!"/>
    <n v="1869"/>
    <x v="170"/>
    <n v="490"/>
    <n v="14952"/>
    <n v="2322.0327715355807"/>
    <n v="2812"/>
    <n v="14309"/>
    <n v="275"/>
    <x v="0"/>
    <x v="0"/>
    <x v="0"/>
    <s v="DailyWellness"/>
  </r>
  <r>
    <x v="192"/>
    <x v="3"/>
    <s v="2025-03-08"/>
    <x v="3"/>
    <s v="Check out our latest image on facebook!"/>
    <n v="2382"/>
    <x v="171"/>
    <n v="134"/>
    <n v="38112"/>
    <n v="2647.0035159529807"/>
    <n v="2781"/>
    <n v="37437"/>
    <n v="249"/>
    <x v="2"/>
    <x v="0"/>
    <x v="0"/>
    <s v="DailyWellness"/>
  </r>
  <r>
    <x v="193"/>
    <x v="3"/>
    <s v="2024-11-25"/>
    <x v="1"/>
    <s v="Check out our latest story on facebook!"/>
    <n v="2120"/>
    <x v="172"/>
    <n v="488"/>
    <n v="12720"/>
    <n v="2278.0383647798744"/>
    <n v="2766"/>
    <n v="12085"/>
    <n v="17"/>
    <x v="2"/>
    <x v="0"/>
    <x v="0"/>
    <s v="FestiveRadiance"/>
  </r>
  <r>
    <x v="194"/>
    <x v="1"/>
    <s v="2025-03-25"/>
    <x v="1"/>
    <s v="Check out our latest story on youtube!"/>
    <n v="2070"/>
    <x v="173"/>
    <n v="386"/>
    <n v="39330"/>
    <n v="2345.00981439105"/>
    <n v="2731"/>
    <n v="38627"/>
    <n v="114"/>
    <x v="2"/>
    <x v="0"/>
    <x v="0"/>
    <s v="DailyWellness"/>
  </r>
  <r>
    <x v="195"/>
    <x v="0"/>
    <s v="2025-03-11"/>
    <x v="1"/>
    <s v="Check out our latest story on twitter!"/>
    <n v="1950"/>
    <x v="174"/>
    <n v="478"/>
    <n v="37050"/>
    <n v="2245.0129014844806"/>
    <n v="2723"/>
    <n v="36272"/>
    <n v="119"/>
    <x v="0"/>
    <x v="0"/>
    <x v="0"/>
    <m/>
  </r>
  <r>
    <x v="196"/>
    <x v="2"/>
    <s v="2025-01-31"/>
    <x v="4"/>
    <s v="Check out our latest carousel on instagram!"/>
    <n v="2566"/>
    <x v="175"/>
    <n v="37"/>
    <n v="12830"/>
    <n v="2684.0028838659391"/>
    <n v="2721"/>
    <n v="12264"/>
    <n v="221"/>
    <x v="2"/>
    <x v="0"/>
    <x v="0"/>
    <s v="NewYearRefresh"/>
  </r>
  <r>
    <x v="197"/>
    <x v="0"/>
    <s v="2024-06-06"/>
    <x v="0"/>
    <s v="Check out our latest video on twitter!"/>
    <n v="1436"/>
    <x v="176"/>
    <n v="496"/>
    <n v="12924"/>
    <n v="2201.0383782110803"/>
    <n v="2697"/>
    <n v="12701"/>
    <n v="197"/>
    <x v="2"/>
    <x v="0"/>
    <x v="0"/>
    <s v="NewYearRefresh"/>
  </r>
  <r>
    <x v="198"/>
    <x v="1"/>
    <s v="2025-03-05"/>
    <x v="5"/>
    <s v="Check out our latest reel on youtube!"/>
    <n v="1543"/>
    <x v="177"/>
    <n v="333"/>
    <n v="12344"/>
    <n v="2363.026976668827"/>
    <n v="2696"/>
    <n v="11496"/>
    <n v="241"/>
    <x v="1"/>
    <x v="0"/>
    <x v="0"/>
    <m/>
  </r>
  <r>
    <x v="199"/>
    <x v="3"/>
    <s v="2025-02-06"/>
    <x v="3"/>
    <s v="Check out our latest image on facebook!"/>
    <n v="2072"/>
    <x v="178"/>
    <n v="71"/>
    <n v="37296"/>
    <n v="2604.0019036894037"/>
    <n v="2675"/>
    <n v="36467"/>
    <n v="25"/>
    <x v="0"/>
    <x v="0"/>
    <x v="0"/>
    <s v="DailyWellness"/>
  </r>
  <r>
    <x v="200"/>
    <x v="2"/>
    <s v="2024-08-01"/>
    <x v="5"/>
    <s v="Check out our latest reel on instagram!"/>
    <n v="1674"/>
    <x v="179"/>
    <n v="37"/>
    <n v="21762"/>
    <n v="2603.0017002113777"/>
    <n v="2640"/>
    <n v="20998"/>
    <n v="255"/>
    <x v="0"/>
    <x v="0"/>
    <x v="0"/>
    <s v="DailyWellness"/>
  </r>
  <r>
    <x v="201"/>
    <x v="0"/>
    <s v="2024-12-24"/>
    <x v="2"/>
    <s v="Check out our latest text on twitter!"/>
    <n v="2166"/>
    <x v="180"/>
    <n v="117"/>
    <n v="10830"/>
    <n v="2520.0108033240999"/>
    <n v="2637"/>
    <n v="10245"/>
    <n v="24"/>
    <x v="1"/>
    <x v="0"/>
    <x v="0"/>
    <s v="DailyWellness"/>
  </r>
  <r>
    <x v="202"/>
    <x v="0"/>
    <s v="2025-05-11"/>
    <x v="3"/>
    <s v="Check out our latest image on twitter!"/>
    <n v="2493"/>
    <x v="181"/>
    <n v="44"/>
    <n v="42381"/>
    <n v="2590.0010382010805"/>
    <n v="2634"/>
    <n v="41991"/>
    <n v="242"/>
    <x v="0"/>
    <x v="1"/>
    <x v="0"/>
    <s v="DailyWellness"/>
  </r>
  <r>
    <x v="203"/>
    <x v="3"/>
    <s v="2025-04-28"/>
    <x v="4"/>
    <s v="Check out our latest carousel on facebook!"/>
    <n v="2089"/>
    <x v="116"/>
    <n v="69"/>
    <n v="16712"/>
    <n v="2565.0041287697463"/>
    <n v="2634"/>
    <n v="16309"/>
    <n v="64"/>
    <x v="2"/>
    <x v="0"/>
    <x v="0"/>
    <s v="NewYearRefresh"/>
  </r>
  <r>
    <x v="204"/>
    <x v="0"/>
    <s v="2024-06-16"/>
    <x v="0"/>
    <s v="Check out our latest video on twitter!"/>
    <n v="1702"/>
    <x v="182"/>
    <n v="179"/>
    <n v="34040"/>
    <n v="2452.0052585193889"/>
    <n v="2631"/>
    <n v="33174"/>
    <n v="76"/>
    <x v="1"/>
    <x v="0"/>
    <x v="0"/>
    <s v="SummerSplash"/>
  </r>
  <r>
    <x v="205"/>
    <x v="1"/>
    <s v="2024-12-21"/>
    <x v="3"/>
    <s v="Check out our latest image on youtube!"/>
    <n v="2283"/>
    <x v="183"/>
    <n v="130"/>
    <n v="22830"/>
    <n v="2493.0056942619362"/>
    <n v="2623"/>
    <n v="22617"/>
    <n v="143"/>
    <x v="2"/>
    <x v="0"/>
    <x v="0"/>
    <s v="FestiveRadiance"/>
  </r>
  <r>
    <x v="206"/>
    <x v="0"/>
    <s v="2025-01-10"/>
    <x v="3"/>
    <s v="Check out our latest image on twitter!"/>
    <n v="2214"/>
    <x v="184"/>
    <n v="152"/>
    <n v="15498"/>
    <n v="2463.0098077171247"/>
    <n v="2615"/>
    <n v="14800"/>
    <n v="180"/>
    <x v="1"/>
    <x v="0"/>
    <x v="0"/>
    <m/>
  </r>
  <r>
    <x v="207"/>
    <x v="0"/>
    <s v="2024-07-31"/>
    <x v="4"/>
    <s v="Check out our latest carousel on twitter!"/>
    <n v="2278"/>
    <x v="185"/>
    <n v="321"/>
    <n v="13668"/>
    <n v="2288.0234855136086"/>
    <n v="2609"/>
    <n v="12676"/>
    <n v="275"/>
    <x v="1"/>
    <x v="0"/>
    <x v="0"/>
    <s v="SummerSplash"/>
  </r>
  <r>
    <x v="208"/>
    <x v="2"/>
    <s v="2024-08-11"/>
    <x v="1"/>
    <s v="Check out our latest story on instagram!"/>
    <n v="1762"/>
    <x v="186"/>
    <n v="423"/>
    <n v="22906"/>
    <n v="2167.0184667772637"/>
    <n v="2590"/>
    <n v="21925"/>
    <n v="25"/>
    <x v="0"/>
    <x v="0"/>
    <x v="0"/>
    <s v="SummerSplash"/>
  </r>
  <r>
    <x v="209"/>
    <x v="0"/>
    <s v="2025-05-06"/>
    <x v="3"/>
    <s v="Check out our latest image on twitter!"/>
    <n v="1952"/>
    <x v="112"/>
    <n v="287"/>
    <n v="15616"/>
    <n v="2296.0183785860654"/>
    <n v="2583"/>
    <n v="15403"/>
    <n v="235"/>
    <x v="2"/>
    <x v="2"/>
    <x v="1"/>
    <s v="FestiveRadiance"/>
  </r>
  <r>
    <x v="210"/>
    <x v="2"/>
    <s v="2025-03-27"/>
    <x v="4"/>
    <s v="Check out our latest carousel on instagram!"/>
    <n v="1377"/>
    <x v="187"/>
    <n v="387"/>
    <n v="22032"/>
    <n v="2173.017565359477"/>
    <n v="2560"/>
    <n v="21869"/>
    <n v="189"/>
    <x v="2"/>
    <x v="0"/>
    <x v="0"/>
    <m/>
  </r>
  <r>
    <x v="211"/>
    <x v="2"/>
    <s v="2024-12-19"/>
    <x v="2"/>
    <s v="Check out our latest text on instagram!"/>
    <n v="1813"/>
    <x v="188"/>
    <n v="72"/>
    <n v="19943"/>
    <n v="2436.0036102893246"/>
    <n v="2508"/>
    <n v="18959"/>
    <n v="85"/>
    <x v="1"/>
    <x v="0"/>
    <x v="0"/>
    <s v="NewYearRefresh"/>
  </r>
  <r>
    <x v="212"/>
    <x v="2"/>
    <s v="2025-03-28"/>
    <x v="1"/>
    <s v="Check out our latest story on instagram!"/>
    <n v="1881"/>
    <x v="189"/>
    <n v="99"/>
    <n v="20691"/>
    <n v="2382.0047846889952"/>
    <n v="2481"/>
    <n v="19987"/>
    <n v="289"/>
    <x v="1"/>
    <x v="0"/>
    <x v="0"/>
    <m/>
  </r>
  <r>
    <x v="213"/>
    <x v="3"/>
    <s v="2024-11-06"/>
    <x v="0"/>
    <s v="Check out our latest video on facebook!"/>
    <n v="1606"/>
    <x v="190"/>
    <n v="316"/>
    <n v="32120"/>
    <n v="2153.0098381070984"/>
    <n v="2469"/>
    <n v="31736"/>
    <n v="225"/>
    <x v="0"/>
    <x v="1"/>
    <x v="0"/>
    <s v="FestiveRadiance"/>
  </r>
  <r>
    <x v="214"/>
    <x v="0"/>
    <s v="2024-11-04"/>
    <x v="3"/>
    <s v="Check out our latest image on twitter!"/>
    <n v="1606"/>
    <x v="47"/>
    <n v="405"/>
    <n v="20878"/>
    <n v="2057.0193984098096"/>
    <n v="2462"/>
    <n v="20190"/>
    <n v="219"/>
    <x v="1"/>
    <x v="0"/>
    <x v="0"/>
    <s v="DailyWellness"/>
  </r>
  <r>
    <x v="215"/>
    <x v="3"/>
    <s v="2024-06-02"/>
    <x v="3"/>
    <s v="Check out our latest image on facebook!"/>
    <n v="1871"/>
    <x v="191"/>
    <n v="335"/>
    <n v="29936"/>
    <n v="2123.0111905398185"/>
    <n v="2458"/>
    <n v="29576"/>
    <n v="288"/>
    <x v="1"/>
    <x v="0"/>
    <x v="0"/>
    <s v="NewYearRefresh"/>
  </r>
  <r>
    <x v="216"/>
    <x v="0"/>
    <s v="2025-03-08"/>
    <x v="2"/>
    <s v="Check out our latest text on twitter!"/>
    <n v="1292"/>
    <x v="192"/>
    <n v="496"/>
    <n v="25840"/>
    <n v="1918.0191950464396"/>
    <n v="2414"/>
    <n v="24916"/>
    <n v="149"/>
    <x v="2"/>
    <x v="0"/>
    <x v="0"/>
    <s v="NewYearRefresh"/>
  </r>
  <r>
    <x v="217"/>
    <x v="2"/>
    <s v="2024-12-11"/>
    <x v="0"/>
    <s v="Check out our latest video on instagram!"/>
    <n v="1431"/>
    <x v="193"/>
    <n v="26"/>
    <n v="8586"/>
    <n v="2382.0030281854183"/>
    <n v="2408"/>
    <n v="8396"/>
    <n v="150"/>
    <x v="1"/>
    <x v="0"/>
    <x v="0"/>
    <s v="NewYearRefresh"/>
  </r>
  <r>
    <x v="218"/>
    <x v="1"/>
    <s v="2024-09-17"/>
    <x v="2"/>
    <s v="Check out our latest text on youtube!"/>
    <n v="2076"/>
    <x v="194"/>
    <n v="104"/>
    <n v="33216"/>
    <n v="2271.0031310211948"/>
    <n v="2375"/>
    <n v="32244"/>
    <n v="51"/>
    <x v="2"/>
    <x v="0"/>
    <x v="0"/>
    <s v="DailyWellness"/>
  </r>
  <r>
    <x v="219"/>
    <x v="0"/>
    <s v="2024-07-18"/>
    <x v="4"/>
    <s v="Check out our latest carousel on twitter!"/>
    <n v="2120"/>
    <x v="195"/>
    <n v="212"/>
    <n v="12720"/>
    <n v="2158.0166666666669"/>
    <n v="2370"/>
    <n v="12564"/>
    <n v="21"/>
    <x v="2"/>
    <x v="0"/>
    <x v="0"/>
    <s v="DailyWellness"/>
  </r>
  <r>
    <x v="220"/>
    <x v="1"/>
    <s v="2024-09-18"/>
    <x v="4"/>
    <s v="Check out our latest carousel on youtube!"/>
    <n v="2143"/>
    <x v="196"/>
    <n v="204"/>
    <n v="40717"/>
    <n v="2155.005010192303"/>
    <n v="2359"/>
    <n v="40125"/>
    <n v="248"/>
    <x v="1"/>
    <x v="0"/>
    <x v="0"/>
    <s v="FestiveRadiance"/>
  </r>
  <r>
    <x v="221"/>
    <x v="0"/>
    <s v="2024-12-22"/>
    <x v="5"/>
    <s v="Check out our latest reel on twitter!"/>
    <n v="1644"/>
    <x v="197"/>
    <n v="150"/>
    <n v="27948"/>
    <n v="2190.0053671103478"/>
    <n v="2340"/>
    <n v="27184"/>
    <n v="300"/>
    <x v="1"/>
    <x v="0"/>
    <x v="0"/>
    <s v="NewYearRefresh"/>
  </r>
  <r>
    <x v="222"/>
    <x v="0"/>
    <s v="2024-12-05"/>
    <x v="0"/>
    <s v="Check out our latest video on twitter!"/>
    <n v="1330"/>
    <x v="5"/>
    <n v="35"/>
    <n v="15960"/>
    <n v="2255.0021929824561"/>
    <n v="2290"/>
    <n v="15379"/>
    <n v="229"/>
    <x v="2"/>
    <x v="0"/>
    <x v="0"/>
    <s v="NewYearRefresh"/>
  </r>
  <r>
    <x v="223"/>
    <x v="1"/>
    <s v="2025-02-10"/>
    <x v="0"/>
    <s v="Check out our latest video on youtube!"/>
    <n v="1766"/>
    <x v="198"/>
    <n v="424"/>
    <n v="24724"/>
    <n v="1858.0171493285877"/>
    <n v="2282"/>
    <n v="24333"/>
    <n v="52"/>
    <x v="1"/>
    <x v="0"/>
    <x v="0"/>
    <m/>
  </r>
  <r>
    <x v="224"/>
    <x v="1"/>
    <s v="2024-10-28"/>
    <x v="5"/>
    <s v="Check out our latest reel on youtube!"/>
    <n v="1855"/>
    <x v="199"/>
    <n v="174"/>
    <n v="16695"/>
    <n v="2055.0104222821205"/>
    <n v="2229"/>
    <n v="16330"/>
    <n v="123"/>
    <x v="0"/>
    <x v="0"/>
    <x v="0"/>
    <s v="NewYearRefresh"/>
  </r>
  <r>
    <x v="225"/>
    <x v="2"/>
    <s v="2024-08-07"/>
    <x v="4"/>
    <s v="Check out our latest carousel on instagram!"/>
    <n v="1741"/>
    <x v="200"/>
    <n v="318"/>
    <n v="8705"/>
    <n v="1905.0365307294658"/>
    <n v="2223"/>
    <n v="8272"/>
    <n v="121"/>
    <x v="0"/>
    <x v="0"/>
    <x v="0"/>
    <m/>
  </r>
  <r>
    <x v="226"/>
    <x v="2"/>
    <s v="2024-10-09"/>
    <x v="4"/>
    <s v="Check out our latest carousel on instagram!"/>
    <n v="985"/>
    <x v="201"/>
    <n v="287"/>
    <n v="6895"/>
    <n v="1917.0416243654822"/>
    <n v="2204"/>
    <n v="6757"/>
    <n v="64"/>
    <x v="2"/>
    <x v="0"/>
    <x v="0"/>
    <s v="DailyWellness"/>
  </r>
  <r>
    <x v="227"/>
    <x v="1"/>
    <s v="2024-10-04"/>
    <x v="2"/>
    <s v="Check out our latest text on youtube!"/>
    <n v="1963"/>
    <x v="202"/>
    <n v="19"/>
    <n v="39260"/>
    <n v="2176.000483953133"/>
    <n v="2195"/>
    <n v="38771"/>
    <n v="145"/>
    <x v="2"/>
    <x v="0"/>
    <x v="0"/>
    <m/>
  </r>
  <r>
    <x v="228"/>
    <x v="3"/>
    <s v="2024-08-21"/>
    <x v="3"/>
    <s v="Check out our latest image on facebook!"/>
    <n v="1407"/>
    <x v="22"/>
    <n v="351"/>
    <n v="16884"/>
    <n v="1807.02078891258"/>
    <n v="2158"/>
    <n v="15954"/>
    <n v="113"/>
    <x v="0"/>
    <x v="0"/>
    <x v="0"/>
    <s v="SummerSplash"/>
  </r>
  <r>
    <x v="229"/>
    <x v="0"/>
    <s v="2024-09-18"/>
    <x v="5"/>
    <s v="Check out our latest reel on twitter!"/>
    <n v="1000"/>
    <x v="203"/>
    <n v="162"/>
    <n v="6000"/>
    <n v="1978.027"/>
    <n v="2140"/>
    <n v="5221"/>
    <n v="223"/>
    <x v="1"/>
    <x v="0"/>
    <x v="0"/>
    <s v="FestiveRadiance"/>
  </r>
  <r>
    <x v="230"/>
    <x v="2"/>
    <s v="2024-08-12"/>
    <x v="4"/>
    <s v="Check out our latest carousel on instagram!"/>
    <n v="1878"/>
    <x v="204"/>
    <n v="179"/>
    <n v="37560"/>
    <n v="1940.0047657082002"/>
    <n v="2119"/>
    <n v="36874"/>
    <n v="142"/>
    <x v="0"/>
    <x v="0"/>
    <x v="0"/>
    <s v="DailyWellness"/>
  </r>
  <r>
    <x v="231"/>
    <x v="2"/>
    <s v="2024-08-15"/>
    <x v="5"/>
    <s v="Check out our latest reel on instagram!"/>
    <n v="1164"/>
    <x v="205"/>
    <n v="324"/>
    <n v="6984"/>
    <n v="1780.0463917525774"/>
    <n v="2104"/>
    <n v="6636"/>
    <n v="82"/>
    <x v="1"/>
    <x v="0"/>
    <x v="0"/>
    <s v="SummerSplash"/>
  </r>
  <r>
    <x v="232"/>
    <x v="3"/>
    <s v="2025-03-26"/>
    <x v="2"/>
    <s v="Check out our latest text on facebook!"/>
    <n v="1652"/>
    <x v="206"/>
    <n v="357"/>
    <n v="29736"/>
    <n v="1741.0120056497176"/>
    <n v="2098"/>
    <n v="28771"/>
    <n v="215"/>
    <x v="0"/>
    <x v="0"/>
    <x v="0"/>
    <s v="NewYearRefresh"/>
  </r>
  <r>
    <x v="233"/>
    <x v="2"/>
    <s v="2024-10-03"/>
    <x v="0"/>
    <s v="Check out our latest video on instagram!"/>
    <n v="1488"/>
    <x v="207"/>
    <n v="168"/>
    <n v="19344"/>
    <n v="1905.0086848635235"/>
    <n v="2073"/>
    <n v="18395"/>
    <n v="30"/>
    <x v="2"/>
    <x v="0"/>
    <x v="0"/>
    <s v="NewYearRefresh"/>
  </r>
  <r>
    <x v="234"/>
    <x v="0"/>
    <s v="2024-09-10"/>
    <x v="3"/>
    <s v="Check out our latest image on twitter!"/>
    <n v="1238"/>
    <x v="208"/>
    <n v="444"/>
    <n v="19808"/>
    <n v="1604.0224151857835"/>
    <n v="2048"/>
    <n v="19334"/>
    <n v="123"/>
    <x v="2"/>
    <x v="0"/>
    <x v="0"/>
    <m/>
  </r>
  <r>
    <x v="235"/>
    <x v="2"/>
    <s v="2024-11-29"/>
    <x v="0"/>
    <s v="Check out our latest video on instagram!"/>
    <n v="1176"/>
    <x v="209"/>
    <n v="394"/>
    <n v="14112"/>
    <n v="1640.0279195011337"/>
    <n v="2034"/>
    <n v="13588"/>
    <n v="272"/>
    <x v="1"/>
    <x v="0"/>
    <x v="0"/>
    <m/>
  </r>
  <r>
    <x v="236"/>
    <x v="3"/>
    <s v="2025-02-27"/>
    <x v="2"/>
    <s v="Check out our latest text on facebook!"/>
    <n v="1570"/>
    <x v="210"/>
    <n v="260"/>
    <n v="25120"/>
    <n v="1757.0103503184714"/>
    <n v="2017"/>
    <n v="24613"/>
    <n v="133"/>
    <x v="0"/>
    <x v="0"/>
    <x v="0"/>
    <s v="DailyWellness"/>
  </r>
  <r>
    <x v="237"/>
    <x v="3"/>
    <s v="2025-03-24"/>
    <x v="3"/>
    <s v="Check out our latest image on facebook!"/>
    <n v="1263"/>
    <x v="211"/>
    <n v="357"/>
    <n v="25260"/>
    <n v="1660.0141330166271"/>
    <n v="2017"/>
    <n v="24615"/>
    <n v="137"/>
    <x v="1"/>
    <x v="0"/>
    <x v="0"/>
    <s v="DailyWellness"/>
  </r>
  <r>
    <x v="238"/>
    <x v="3"/>
    <s v="2024-10-21"/>
    <x v="1"/>
    <s v="Check out our latest story on facebook!"/>
    <n v="780"/>
    <x v="212"/>
    <n v="301"/>
    <n v="8580"/>
    <n v="1708.0350815850816"/>
    <n v="2009"/>
    <n v="8081"/>
    <n v="91"/>
    <x v="1"/>
    <x v="0"/>
    <x v="0"/>
    <s v="NewYearRefresh"/>
  </r>
  <r>
    <x v="239"/>
    <x v="0"/>
    <s v="2024-12-23"/>
    <x v="5"/>
    <s v="Check out our latest reel on twitter!"/>
    <n v="1461"/>
    <x v="213"/>
    <n v="344"/>
    <n v="21915"/>
    <n v="1645.0156970111796"/>
    <n v="1989"/>
    <n v="21675"/>
    <n v="15"/>
    <x v="2"/>
    <x v="1"/>
    <x v="0"/>
    <s v="SummerSplash"/>
  </r>
  <r>
    <x v="240"/>
    <x v="2"/>
    <s v="2025-01-28"/>
    <x v="0"/>
    <s v="Check out our latest video on instagram!"/>
    <n v="904"/>
    <x v="214"/>
    <n v="63"/>
    <n v="11752"/>
    <n v="1877.0053607896527"/>
    <n v="1940"/>
    <n v="11580"/>
    <n v="84"/>
    <x v="1"/>
    <x v="2"/>
    <x v="1"/>
    <s v="NewYearRefresh"/>
  </r>
  <r>
    <x v="241"/>
    <x v="2"/>
    <s v="2024-10-19"/>
    <x v="1"/>
    <s v="Check out our latest story on instagram!"/>
    <n v="1816"/>
    <x v="215"/>
    <n v="41"/>
    <n v="19976"/>
    <n v="1845.0020524629556"/>
    <n v="1886"/>
    <n v="19262"/>
    <n v="283"/>
    <x v="0"/>
    <x v="0"/>
    <x v="0"/>
    <s v="NewYearRefresh"/>
  </r>
  <r>
    <x v="242"/>
    <x v="0"/>
    <s v="2024-06-07"/>
    <x v="4"/>
    <s v="Check out our latest carousel on twitter!"/>
    <n v="1556"/>
    <x v="194"/>
    <n v="131"/>
    <n v="9336"/>
    <n v="1751.0140317052271"/>
    <n v="1882"/>
    <n v="8875"/>
    <n v="137"/>
    <x v="0"/>
    <x v="0"/>
    <x v="0"/>
    <s v="FestiveRadiance"/>
  </r>
  <r>
    <x v="243"/>
    <x v="0"/>
    <s v="2024-09-14"/>
    <x v="3"/>
    <s v="Check out our latest image on twitter!"/>
    <n v="1048"/>
    <x v="216"/>
    <n v="450"/>
    <n v="9432"/>
    <n v="1422.0477099236641"/>
    <n v="1872"/>
    <n v="8882"/>
    <n v="158"/>
    <x v="0"/>
    <x v="0"/>
    <x v="0"/>
    <s v="NewYearRefresh"/>
  </r>
  <r>
    <x v="244"/>
    <x v="1"/>
    <s v="2025-03-21"/>
    <x v="3"/>
    <s v="Check out our latest image on youtube!"/>
    <n v="606"/>
    <x v="217"/>
    <n v="470"/>
    <n v="7878"/>
    <n v="1395.0596598121351"/>
    <n v="1865"/>
    <n v="7389"/>
    <n v="239"/>
    <x v="1"/>
    <x v="0"/>
    <x v="0"/>
    <s v="NewYearRefresh"/>
  </r>
  <r>
    <x v="245"/>
    <x v="2"/>
    <s v="2025-05-01"/>
    <x v="2"/>
    <s v="Check out our latest text on instagram!"/>
    <n v="1430"/>
    <x v="218"/>
    <n v="33"/>
    <n v="21450"/>
    <n v="1806.0015384615385"/>
    <n v="1839"/>
    <n v="20509"/>
    <n v="251"/>
    <x v="2"/>
    <x v="0"/>
    <x v="0"/>
    <s v="SummerSplash"/>
  </r>
  <r>
    <x v="246"/>
    <x v="3"/>
    <s v="2024-06-01"/>
    <x v="2"/>
    <s v="Check out our latest text on facebook!"/>
    <n v="1272"/>
    <x v="219"/>
    <n v="99"/>
    <n v="24168"/>
    <n v="1737.00409632572"/>
    <n v="1836"/>
    <n v="23719"/>
    <n v="42"/>
    <x v="0"/>
    <x v="0"/>
    <x v="0"/>
    <m/>
  </r>
  <r>
    <x v="247"/>
    <x v="0"/>
    <s v="2025-01-28"/>
    <x v="5"/>
    <s v="Check out our latest reel on twitter!"/>
    <n v="1188"/>
    <x v="220"/>
    <n v="174"/>
    <n v="7128"/>
    <n v="1658.0244107744109"/>
    <n v="1832"/>
    <n v="6145"/>
    <n v="270"/>
    <x v="0"/>
    <x v="0"/>
    <x v="0"/>
    <s v="DailyWellness"/>
  </r>
  <r>
    <x v="248"/>
    <x v="1"/>
    <s v="2024-12-31"/>
    <x v="0"/>
    <s v="Check out our latest video on youtube!"/>
    <n v="1018"/>
    <x v="221"/>
    <n v="332"/>
    <n v="18324"/>
    <n v="1465.0181183147783"/>
    <n v="1797"/>
    <n v="18164"/>
    <n v="38"/>
    <x v="2"/>
    <x v="0"/>
    <x v="0"/>
    <s v="FestiveRadiance"/>
  </r>
  <r>
    <x v="249"/>
    <x v="3"/>
    <s v="2025-03-04"/>
    <x v="1"/>
    <s v="Check out our latest story on facebook!"/>
    <n v="1249"/>
    <x v="222"/>
    <n v="420"/>
    <n v="8743"/>
    <n v="1365.0480384307446"/>
    <n v="1785"/>
    <n v="8538"/>
    <n v="63"/>
    <x v="0"/>
    <x v="0"/>
    <x v="0"/>
    <m/>
  </r>
  <r>
    <x v="250"/>
    <x v="0"/>
    <s v="2024-08-24"/>
    <x v="0"/>
    <s v="Check out our latest video on twitter!"/>
    <n v="1082"/>
    <x v="223"/>
    <n v="484"/>
    <n v="19476"/>
    <n v="1291.0248510987883"/>
    <n v="1775"/>
    <n v="18654"/>
    <n v="20"/>
    <x v="0"/>
    <x v="0"/>
    <x v="0"/>
    <m/>
  </r>
  <r>
    <x v="251"/>
    <x v="1"/>
    <s v="2024-07-29"/>
    <x v="1"/>
    <s v="Check out our latest story on youtube!"/>
    <n v="1509"/>
    <x v="224"/>
    <n v="163"/>
    <n v="30180"/>
    <n v="1597.0054009277667"/>
    <n v="1760"/>
    <n v="29689"/>
    <n v="119"/>
    <x v="1"/>
    <x v="0"/>
    <x v="0"/>
    <s v="FestiveRadiance"/>
  </r>
  <r>
    <x v="252"/>
    <x v="1"/>
    <s v="2025-04-06"/>
    <x v="4"/>
    <s v="Check out our latest carousel on youtube!"/>
    <n v="736"/>
    <x v="29"/>
    <n v="225"/>
    <n v="5152"/>
    <n v="1507.0436723602484"/>
    <n v="1732"/>
    <n v="4706"/>
    <n v="19"/>
    <x v="1"/>
    <x v="0"/>
    <x v="0"/>
    <s v="SummerSplash"/>
  </r>
  <r>
    <x v="253"/>
    <x v="0"/>
    <s v="2025-02-16"/>
    <x v="5"/>
    <s v="Check out our latest reel on twitter!"/>
    <n v="1076"/>
    <x v="225"/>
    <n v="306"/>
    <n v="11836"/>
    <n v="1389.0258533288272"/>
    <n v="1695"/>
    <n v="11596"/>
    <n v="104"/>
    <x v="2"/>
    <x v="0"/>
    <x v="0"/>
    <s v="SummerSplash"/>
  </r>
  <r>
    <x v="254"/>
    <x v="1"/>
    <s v="2024-11-18"/>
    <x v="4"/>
    <s v="Check out our latest carousel on youtube!"/>
    <n v="1171"/>
    <x v="226"/>
    <n v="231"/>
    <n v="22249"/>
    <n v="1457.0103824891007"/>
    <n v="1688"/>
    <n v="21282"/>
    <n v="114"/>
    <x v="1"/>
    <x v="0"/>
    <x v="0"/>
    <s v="SummerSplash"/>
  </r>
  <r>
    <x v="255"/>
    <x v="3"/>
    <s v="2025-01-03"/>
    <x v="3"/>
    <s v="Check out our latest image on facebook!"/>
    <n v="947"/>
    <x v="227"/>
    <n v="350"/>
    <n v="10417"/>
    <n v="1285.0335989248345"/>
    <n v="1635"/>
    <n v="9730"/>
    <n v="34"/>
    <x v="0"/>
    <x v="0"/>
    <x v="0"/>
    <s v="DailyWellness"/>
  </r>
  <r>
    <x v="256"/>
    <x v="3"/>
    <s v="2024-08-19"/>
    <x v="2"/>
    <s v="Check out our latest text on facebook!"/>
    <n v="1257"/>
    <x v="228"/>
    <n v="351"/>
    <n v="12570"/>
    <n v="1276.0279236276849"/>
    <n v="1627"/>
    <n v="11660"/>
    <n v="194"/>
    <x v="2"/>
    <x v="1"/>
    <x v="3"/>
    <s v="FestiveRadiance"/>
  </r>
  <r>
    <x v="257"/>
    <x v="2"/>
    <s v="2024-08-15"/>
    <x v="4"/>
    <s v="Check out our latest carousel on instagram!"/>
    <n v="914"/>
    <x v="209"/>
    <n v="246"/>
    <n v="11882"/>
    <n v="1378.020703585255"/>
    <n v="1624"/>
    <n v="11500"/>
    <n v="282"/>
    <x v="2"/>
    <x v="2"/>
    <x v="1"/>
    <s v="DailyWellness"/>
  </r>
  <r>
    <x v="258"/>
    <x v="1"/>
    <s v="2025-02-19"/>
    <x v="3"/>
    <s v="Check out our latest image on youtube!"/>
    <n v="257"/>
    <x v="229"/>
    <n v="398"/>
    <n v="3341"/>
    <n v="1223.1191260101766"/>
    <n v="1621"/>
    <n v="2753"/>
    <n v="287"/>
    <x v="2"/>
    <x v="0"/>
    <x v="0"/>
    <s v="SummerSplash"/>
  </r>
  <r>
    <x v="259"/>
    <x v="2"/>
    <s v="2024-06-23"/>
    <x v="0"/>
    <s v="Check out our latest video on instagram!"/>
    <n v="1071"/>
    <x v="230"/>
    <n v="22"/>
    <n v="16065"/>
    <n v="1590.0013694366635"/>
    <n v="1612"/>
    <n v="15865"/>
    <n v="103"/>
    <x v="0"/>
    <x v="0"/>
    <x v="0"/>
    <s v="DailyWellness"/>
  </r>
  <r>
    <x v="260"/>
    <x v="2"/>
    <s v="2024-07-29"/>
    <x v="1"/>
    <s v="Check out our latest story on instagram!"/>
    <n v="498"/>
    <x v="231"/>
    <n v="412"/>
    <n v="4980"/>
    <n v="1199.0827309236947"/>
    <n v="1611"/>
    <n v="4185"/>
    <n v="185"/>
    <x v="2"/>
    <x v="0"/>
    <x v="0"/>
    <m/>
  </r>
  <r>
    <x v="261"/>
    <x v="1"/>
    <s v="2024-10-15"/>
    <x v="0"/>
    <s v="Check out our latest video on youtube!"/>
    <n v="1094"/>
    <x v="232"/>
    <n v="21"/>
    <n v="9846"/>
    <n v="1566.0021328458258"/>
    <n v="1587"/>
    <n v="9609"/>
    <n v="112"/>
    <x v="1"/>
    <x v="0"/>
    <x v="0"/>
    <m/>
  </r>
  <r>
    <x v="262"/>
    <x v="2"/>
    <s v="2024-12-23"/>
    <x v="3"/>
    <s v="Check out our latest image on instagram!"/>
    <n v="521"/>
    <x v="233"/>
    <n v="315"/>
    <n v="4168"/>
    <n v="1267.0755758157391"/>
    <n v="1582"/>
    <n v="3399"/>
    <n v="282"/>
    <x v="2"/>
    <x v="0"/>
    <x v="0"/>
    <s v="FestiveRadiance"/>
  </r>
  <r>
    <x v="263"/>
    <x v="0"/>
    <s v="2024-06-17"/>
    <x v="3"/>
    <s v="Check out our latest image on twitter!"/>
    <n v="954"/>
    <x v="157"/>
    <n v="288"/>
    <n v="19080"/>
    <n v="1278.0150943396227"/>
    <n v="1566"/>
    <n v="18859"/>
    <n v="21"/>
    <x v="2"/>
    <x v="0"/>
    <x v="0"/>
    <s v="DailyWellness"/>
  </r>
  <r>
    <x v="264"/>
    <x v="3"/>
    <s v="2024-11-17"/>
    <x v="2"/>
    <s v="Check out our latest text on facebook!"/>
    <n v="880"/>
    <x v="234"/>
    <n v="345"/>
    <n v="12320"/>
    <n v="1177.0280032467533"/>
    <n v="1522"/>
    <n v="11978"/>
    <n v="238"/>
    <x v="0"/>
    <x v="1"/>
    <x v="0"/>
    <m/>
  </r>
  <r>
    <x v="265"/>
    <x v="0"/>
    <s v="2024-06-24"/>
    <x v="2"/>
    <s v="Check out our latest text on twitter!"/>
    <n v="941"/>
    <x v="235"/>
    <n v="458"/>
    <n v="14115"/>
    <n v="1062.0324477506199"/>
    <n v="1520"/>
    <n v="13838"/>
    <n v="87"/>
    <x v="1"/>
    <x v="0"/>
    <x v="0"/>
    <s v="SummerSplash"/>
  </r>
  <r>
    <x v="266"/>
    <x v="3"/>
    <s v="2024-10-11"/>
    <x v="3"/>
    <s v="Check out our latest image on facebook!"/>
    <n v="400"/>
    <x v="28"/>
    <n v="434"/>
    <n v="6400"/>
    <n v="1080.0678124999999"/>
    <n v="1514"/>
    <n v="5472"/>
    <n v="160"/>
    <x v="2"/>
    <x v="0"/>
    <x v="0"/>
    <s v="FestiveRadiance"/>
  </r>
  <r>
    <x v="267"/>
    <x v="2"/>
    <s v="2025-03-08"/>
    <x v="5"/>
    <s v="Check out our latest reel on instagram!"/>
    <n v="456"/>
    <x v="91"/>
    <n v="428"/>
    <n v="8208"/>
    <n v="1085.0521442495126"/>
    <n v="1513"/>
    <n v="7377"/>
    <n v="205"/>
    <x v="2"/>
    <x v="0"/>
    <x v="0"/>
    <s v="DailyWellness"/>
  </r>
  <r>
    <x v="268"/>
    <x v="0"/>
    <s v="2025-05-02"/>
    <x v="0"/>
    <s v="Check out our latest video on twitter!"/>
    <n v="1108"/>
    <x v="236"/>
    <n v="212"/>
    <n v="8864"/>
    <n v="1285.023916967509"/>
    <n v="1497"/>
    <n v="8710"/>
    <n v="97"/>
    <x v="0"/>
    <x v="0"/>
    <x v="0"/>
    <s v="DailyWellness"/>
  </r>
  <r>
    <x v="269"/>
    <x v="1"/>
    <s v="2025-02-24"/>
    <x v="4"/>
    <s v="Check out our latest carousel on youtube!"/>
    <n v="804"/>
    <x v="237"/>
    <n v="43"/>
    <n v="4020"/>
    <n v="1443.010696517413"/>
    <n v="1486"/>
    <n v="3144"/>
    <n v="11"/>
    <x v="1"/>
    <x v="4"/>
    <x v="0"/>
    <m/>
  </r>
  <r>
    <x v="270"/>
    <x v="1"/>
    <s v="2025-01-18"/>
    <x v="3"/>
    <s v="Check out our latest image on youtube!"/>
    <n v="1206"/>
    <x v="238"/>
    <n v="36"/>
    <n v="9648"/>
    <n v="1444.0037313432836"/>
    <n v="1480"/>
    <n v="9417"/>
    <n v="237"/>
    <x v="0"/>
    <x v="0"/>
    <x v="0"/>
    <m/>
  </r>
  <r>
    <x v="271"/>
    <x v="0"/>
    <s v="2024-08-26"/>
    <x v="4"/>
    <s v="Check out our latest carousel on twitter!"/>
    <n v="929"/>
    <x v="239"/>
    <n v="322"/>
    <n v="16722"/>
    <n v="1121.0192560698481"/>
    <n v="1443"/>
    <n v="15996"/>
    <n v="145"/>
    <x v="1"/>
    <x v="2"/>
    <x v="1"/>
    <s v="NewYearRefresh"/>
  </r>
  <r>
    <x v="272"/>
    <x v="3"/>
    <s v="2025-04-02"/>
    <x v="0"/>
    <s v="Check out our latest video on facebook!"/>
    <n v="199"/>
    <x v="8"/>
    <n v="400"/>
    <n v="3582"/>
    <n v="971.11166945840307"/>
    <n v="1371"/>
    <n v="2988"/>
    <n v="43"/>
    <x v="0"/>
    <x v="0"/>
    <x v="0"/>
    <m/>
  </r>
  <r>
    <x v="273"/>
    <x v="3"/>
    <s v="2024-06-17"/>
    <x v="3"/>
    <s v="Check out our latest image on facebook!"/>
    <n v="1226"/>
    <x v="240"/>
    <n v="7"/>
    <n v="14712"/>
    <n v="1345.0004758020664"/>
    <n v="1352"/>
    <n v="14049"/>
    <n v="123"/>
    <x v="1"/>
    <x v="0"/>
    <x v="0"/>
    <s v="DailyWellness"/>
  </r>
  <r>
    <x v="274"/>
    <x v="3"/>
    <s v="2025-05-13"/>
    <x v="3"/>
    <s v="Check out our latest image on facebook!"/>
    <n v="602"/>
    <x v="241"/>
    <n v="156"/>
    <n v="4214"/>
    <n v="1196.0370194589464"/>
    <n v="1352"/>
    <n v="3363"/>
    <n v="164"/>
    <x v="0"/>
    <x v="0"/>
    <x v="0"/>
    <s v="NewYearRefresh"/>
  </r>
  <r>
    <x v="275"/>
    <x v="2"/>
    <s v="2024-12-17"/>
    <x v="1"/>
    <s v="Check out our latest story on instagram!"/>
    <n v="360"/>
    <x v="242"/>
    <n v="393"/>
    <n v="4680"/>
    <n v="950.08397435897439"/>
    <n v="1343"/>
    <n v="4322"/>
    <n v="208"/>
    <x v="2"/>
    <x v="0"/>
    <x v="0"/>
    <s v="FestiveRadiance"/>
  </r>
  <r>
    <x v="276"/>
    <x v="0"/>
    <s v="2025-01-15"/>
    <x v="5"/>
    <s v="Check out our latest reel on twitter!"/>
    <n v="802"/>
    <x v="84"/>
    <n v="244"/>
    <n v="14436"/>
    <n v="1064.0169021889719"/>
    <n v="1308"/>
    <n v="14280"/>
    <n v="49"/>
    <x v="1"/>
    <x v="0"/>
    <x v="0"/>
    <s v="SummerSplash"/>
  </r>
  <r>
    <x v="277"/>
    <x v="0"/>
    <s v="2024-07-18"/>
    <x v="3"/>
    <s v="Check out our latest image on twitter!"/>
    <n v="827"/>
    <x v="243"/>
    <n v="402"/>
    <n v="14886"/>
    <n v="904.02700523982264"/>
    <n v="1306"/>
    <n v="14129"/>
    <n v="254"/>
    <x v="1"/>
    <x v="0"/>
    <x v="0"/>
    <s v="FestiveRadiance"/>
  </r>
  <r>
    <x v="278"/>
    <x v="0"/>
    <s v="2024-11-07"/>
    <x v="1"/>
    <s v="Check out our latest story on twitter!"/>
    <n v="1121"/>
    <x v="244"/>
    <n v="18"/>
    <n v="15694"/>
    <n v="1256.0011469351346"/>
    <n v="1274"/>
    <n v="14957"/>
    <n v="99"/>
    <x v="0"/>
    <x v="0"/>
    <x v="0"/>
    <s v="DailyWellness"/>
  </r>
  <r>
    <x v="279"/>
    <x v="2"/>
    <s v="2024-07-24"/>
    <x v="3"/>
    <s v="Check out our latest image on instagram!"/>
    <n v="725"/>
    <x v="224"/>
    <n v="428"/>
    <n v="14500"/>
    <n v="813.02951724137927"/>
    <n v="1241"/>
    <n v="13637"/>
    <n v="200"/>
    <x v="2"/>
    <x v="2"/>
    <x v="1"/>
    <s v="NewYearRefresh"/>
  </r>
  <r>
    <x v="280"/>
    <x v="0"/>
    <s v="2025-01-01"/>
    <x v="0"/>
    <s v="Check out our latest video on twitter!"/>
    <n v="754"/>
    <x v="245"/>
    <n v="257"/>
    <n v="6786"/>
    <n v="951.03787208959625"/>
    <n v="1208"/>
    <n v="6221"/>
    <n v="212"/>
    <x v="0"/>
    <x v="0"/>
    <x v="0"/>
    <s v="NewYearRefresh"/>
  </r>
  <r>
    <x v="281"/>
    <x v="2"/>
    <s v="2025-03-04"/>
    <x v="0"/>
    <s v="Check out our latest video on instagram!"/>
    <n v="432"/>
    <x v="246"/>
    <n v="123"/>
    <n v="6912"/>
    <n v="1056.0177951388889"/>
    <n v="1179"/>
    <n v="6259"/>
    <n v="79"/>
    <x v="2"/>
    <x v="0"/>
    <x v="0"/>
    <s v="DailyWellness"/>
  </r>
  <r>
    <x v="282"/>
    <x v="3"/>
    <s v="2025-02-02"/>
    <x v="1"/>
    <s v="Check out our latest story on facebook!"/>
    <n v="886"/>
    <x v="155"/>
    <n v="153"/>
    <n v="4430"/>
    <n v="1012.0345372460497"/>
    <n v="1165"/>
    <n v="4037"/>
    <n v="212"/>
    <x v="1"/>
    <x v="0"/>
    <x v="0"/>
    <m/>
  </r>
  <r>
    <x v="283"/>
    <x v="0"/>
    <s v="2024-09-17"/>
    <x v="2"/>
    <s v="Check out our latest text on twitter!"/>
    <n v="571"/>
    <x v="32"/>
    <n v="352"/>
    <n v="9707"/>
    <n v="761.03626249098591"/>
    <n v="1113"/>
    <n v="9418"/>
    <n v="231"/>
    <x v="0"/>
    <x v="0"/>
    <x v="0"/>
    <s v="DailyWellness"/>
  </r>
  <r>
    <x v="284"/>
    <x v="2"/>
    <s v="2025-01-17"/>
    <x v="5"/>
    <s v="Check out our latest reel on instagram!"/>
    <n v="142"/>
    <x v="138"/>
    <n v="183"/>
    <n v="1704"/>
    <n v="926.10739436619713"/>
    <n v="1109"/>
    <n v="995"/>
    <n v="154"/>
    <x v="2"/>
    <x v="0"/>
    <x v="0"/>
    <s v="DailyWellness"/>
  </r>
  <r>
    <x v="285"/>
    <x v="0"/>
    <s v="2025-04-29"/>
    <x v="1"/>
    <s v="Check out our latest story on twitter!"/>
    <n v="249"/>
    <x v="247"/>
    <n v="230"/>
    <n v="1494"/>
    <n v="841.15394912985278"/>
    <n v="1071"/>
    <n v="1044"/>
    <n v="201"/>
    <x v="1"/>
    <x v="0"/>
    <x v="0"/>
    <s v="DailyWellness"/>
  </r>
  <r>
    <x v="286"/>
    <x v="2"/>
    <s v="2024-06-02"/>
    <x v="1"/>
    <s v="Check out our latest story on instagram!"/>
    <n v="84"/>
    <x v="248"/>
    <n v="85"/>
    <n v="588"/>
    <n v="981.14455782312928"/>
    <n v="1066"/>
    <n v="8"/>
    <n v="12"/>
    <x v="1"/>
    <x v="0"/>
    <x v="0"/>
    <m/>
  </r>
  <r>
    <x v="287"/>
    <x v="2"/>
    <s v="2024-11-07"/>
    <x v="0"/>
    <s v="Check out our latest video on instagram!"/>
    <n v="129"/>
    <x v="249"/>
    <n v="136"/>
    <n v="1290"/>
    <n v="772.10542635658919"/>
    <n v="908"/>
    <n v="839"/>
    <n v="238"/>
    <x v="0"/>
    <x v="0"/>
    <x v="0"/>
    <s v="DailyWellness"/>
  </r>
  <r>
    <x v="288"/>
    <x v="2"/>
    <s v="2025-04-15"/>
    <x v="5"/>
    <s v="Check out our latest reel on instagram!"/>
    <n v="103"/>
    <x v="250"/>
    <n v="19"/>
    <n v="1030"/>
    <n v="873.01844660194172"/>
    <n v="892"/>
    <n v="410"/>
    <n v="262"/>
    <x v="0"/>
    <x v="0"/>
    <x v="0"/>
    <s v="DailyWellness"/>
  </r>
  <r>
    <x v="289"/>
    <x v="0"/>
    <s v="2024-07-26"/>
    <x v="4"/>
    <s v="Check out our latest carousel on twitter!"/>
    <n v="432"/>
    <x v="251"/>
    <n v="280"/>
    <n v="3024"/>
    <n v="603.09259259259261"/>
    <n v="883"/>
    <n v="2285"/>
    <n v="184"/>
    <x v="1"/>
    <x v="0"/>
    <x v="0"/>
    <s v="SummerSplash"/>
  </r>
  <r>
    <x v="290"/>
    <x v="3"/>
    <s v="2025-02-10"/>
    <x v="2"/>
    <s v="Check out our latest text on facebook!"/>
    <n v="562"/>
    <x v="172"/>
    <n v="149"/>
    <n v="3372"/>
    <n v="720.04418742586006"/>
    <n v="869"/>
    <n v="2940"/>
    <n v="93"/>
    <x v="0"/>
    <x v="0"/>
    <x v="0"/>
    <s v="SummerSplash"/>
  </r>
  <r>
    <x v="291"/>
    <x v="2"/>
    <s v="2024-12-16"/>
    <x v="2"/>
    <s v="Check out our latest text on instagram!"/>
    <n v="438"/>
    <x v="252"/>
    <n v="275"/>
    <n v="3066"/>
    <n v="591.08969341161117"/>
    <n v="866"/>
    <n v="2701"/>
    <n v="282"/>
    <x v="0"/>
    <x v="0"/>
    <x v="0"/>
    <s v="FestiveRadiance"/>
  </r>
  <r>
    <x v="292"/>
    <x v="3"/>
    <s v="2024-07-07"/>
    <x v="1"/>
    <s v="Check out our latest story on facebook!"/>
    <n v="302"/>
    <x v="253"/>
    <n v="430"/>
    <n v="5738"/>
    <n v="349.07493900313699"/>
    <n v="779"/>
    <n v="4890"/>
    <n v="25"/>
    <x v="0"/>
    <x v="0"/>
    <x v="0"/>
    <s v="DailyWellness"/>
  </r>
  <r>
    <x v="293"/>
    <x v="0"/>
    <s v="2025-03-29"/>
    <x v="3"/>
    <s v="Check out our latest image on twitter!"/>
    <n v="305"/>
    <x v="210"/>
    <n v="243"/>
    <n v="4575"/>
    <n v="492.05311475409837"/>
    <n v="735"/>
    <n v="3704"/>
    <n v="234"/>
    <x v="2"/>
    <x v="0"/>
    <x v="0"/>
    <s v="NewYearRefresh"/>
  </r>
  <r>
    <x v="294"/>
    <x v="2"/>
    <s v="2024-06-14"/>
    <x v="4"/>
    <s v="Check out our latest carousel on instagram!"/>
    <n v="498"/>
    <x v="195"/>
    <n v="42"/>
    <n v="4482"/>
    <n v="536.0093708165997"/>
    <n v="578"/>
    <n v="3647"/>
    <n v="32"/>
    <x v="2"/>
    <x v="0"/>
    <x v="0"/>
    <s v="SummerSplash"/>
  </r>
  <r>
    <x v="295"/>
    <x v="2"/>
    <s v="2024-06-12"/>
    <x v="2"/>
    <s v="Check out our latest text on instagram!"/>
    <n v="246"/>
    <x v="254"/>
    <n v="130"/>
    <n v="4674"/>
    <n v="395.02781343602908"/>
    <n v="525"/>
    <n v="4390"/>
    <n v="217"/>
    <x v="2"/>
    <x v="0"/>
    <x v="0"/>
    <s v="NewYearRefresh"/>
  </r>
  <r>
    <x v="296"/>
    <x v="1"/>
    <s v="2024-10-02"/>
    <x v="4"/>
    <s v="Check out our latest carousel on youtube!"/>
    <n v="80"/>
    <x v="255"/>
    <n v="80"/>
    <n v="1040"/>
    <n v="442.07692307692309"/>
    <n v="522"/>
    <n v="349"/>
    <n v="117"/>
    <x v="0"/>
    <x v="0"/>
    <x v="0"/>
    <s v="NewYearRefresh"/>
  </r>
  <r>
    <x v="297"/>
    <x v="0"/>
    <s v="2024-11-22"/>
    <x v="4"/>
    <s v="Check out our latest carousel on twitter!"/>
    <n v="53"/>
    <x v="256"/>
    <n v="379"/>
    <n v="954"/>
    <n v="134.39727463312369"/>
    <n v="513"/>
    <n v="7"/>
    <n v="148"/>
    <x v="0"/>
    <x v="0"/>
    <x v="0"/>
    <s v="NewYearRefresh"/>
  </r>
  <r>
    <x v="298"/>
    <x v="1"/>
    <s v="2025-03-03"/>
    <x v="5"/>
    <s v="Check out our latest reel on youtube!"/>
    <n v="296"/>
    <x v="257"/>
    <n v="141"/>
    <n v="5624"/>
    <n v="356.02507112375531"/>
    <n v="497"/>
    <n v="5239"/>
    <n v="88"/>
    <x v="1"/>
    <x v="0"/>
    <x v="0"/>
    <s v="FestiveRadiance"/>
  </r>
  <r>
    <x v="299"/>
    <x v="0"/>
    <s v="2025-01-30"/>
    <x v="3"/>
    <s v="Check out our latest image on twitter!"/>
    <n v="59"/>
    <x v="258"/>
    <n v="93"/>
    <n v="590"/>
    <n v="222.15762711864406"/>
    <n v="315"/>
    <n v="475"/>
    <n v="293"/>
    <x v="0"/>
    <x v="0"/>
    <x v="0"/>
    <s v="FestiveRadian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Twitter"/>
    <s v="2024-09-05"/>
    <s v="Video"/>
    <s v="Check out our latest video on twitter!"/>
    <n v="4886"/>
    <n v="983"/>
    <n v="409"/>
    <n v="43974"/>
    <n v="5869.0093009505617"/>
    <n v="6278"/>
    <n v="43239"/>
    <n v="65"/>
    <s v="#PepsiCoRefresh"/>
    <m/>
    <m/>
    <x v="0"/>
    <s v="SummerSplash"/>
  </r>
  <r>
    <s v="YouTube"/>
    <s v="2024-10-28"/>
    <s v="Story"/>
    <s v="Check out our latest story on youtube!"/>
    <n v="4929"/>
    <n v="749"/>
    <n v="452"/>
    <n v="93651"/>
    <n v="5678.0048264300431"/>
    <n v="6130"/>
    <n v="92810"/>
    <n v="66"/>
    <s v="#ThirstyForMore"/>
    <m/>
    <m/>
    <x v="1"/>
    <s v="DailyWellness"/>
  </r>
  <r>
    <s v="YouTube"/>
    <s v="2025-02-27"/>
    <s v="Text"/>
    <s v="Check out our latest text on youtube!"/>
    <n v="4934"/>
    <n v="971"/>
    <n v="156"/>
    <n v="39472"/>
    <n v="5905.0039521686258"/>
    <n v="6061"/>
    <n v="39025"/>
    <n v="169"/>
    <s v="#PepsiCoRefresh"/>
    <s v="#AnytimeIsPepsiTime"/>
    <m/>
    <x v="2"/>
    <s v="DailyWellness"/>
  </r>
  <r>
    <s v="Instagram"/>
    <s v="2024-10-27"/>
    <s v="Image"/>
    <s v="Check out our latest image on instagram!"/>
    <n v="4853"/>
    <n v="837"/>
    <n v="340"/>
    <n v="72795"/>
    <n v="5690.0046706504563"/>
    <n v="6030"/>
    <n v="72237"/>
    <n v="170"/>
    <s v="#ThirstyForMore"/>
    <m/>
    <m/>
    <x v="3"/>
    <s v="SummerSplash"/>
  </r>
  <r>
    <s v="YouTube"/>
    <s v="2024-10-25"/>
    <s v="Video"/>
    <s v="Check out our latest video on youtube!"/>
    <n v="4661"/>
    <n v="935"/>
    <n v="433"/>
    <n v="23305"/>
    <n v="5596.0185797039258"/>
    <n v="6029"/>
    <n v="22583"/>
    <n v="63"/>
    <s v="#LiveForNow"/>
    <m/>
    <m/>
    <x v="0"/>
    <s v="NewYearRefresh"/>
  </r>
  <r>
    <s v="Facebook"/>
    <s v="2025-05-06"/>
    <s v="Image"/>
    <s v="Check out our latest image on facebook!"/>
    <n v="4872"/>
    <n v="925"/>
    <n v="176"/>
    <n v="82824"/>
    <n v="5797.0021249879264"/>
    <n v="5973"/>
    <n v="82543"/>
    <n v="89"/>
    <s v="#ThirstyForMore"/>
    <m/>
    <m/>
    <x v="1"/>
    <s v="FestiveRadiance"/>
  </r>
  <r>
    <s v="Instagram"/>
    <s v="2025-02-04"/>
    <s v="Image"/>
    <s v="Check out our latest image on instagram!"/>
    <n v="4619"/>
    <n v="821"/>
    <n v="499"/>
    <n v="69285"/>
    <n v="5440.0072021361048"/>
    <n v="5939"/>
    <n v="69141"/>
    <n v="298"/>
    <s v="#PepsiCoRefresh"/>
    <m/>
    <m/>
    <x v="4"/>
    <s v="DailyWellness"/>
  </r>
  <r>
    <s v="Twitter"/>
    <s v="2025-02-19"/>
    <s v="Text"/>
    <s v="Check out our latest text on twitter!"/>
    <n v="4671"/>
    <n v="876"/>
    <n v="366"/>
    <n v="51381"/>
    <n v="5547.0071232556784"/>
    <n v="5913"/>
    <n v="50565"/>
    <n v="245"/>
    <s v="#PepsiCoRefresh"/>
    <m/>
    <m/>
    <x v="5"/>
    <s v="DailyWellness"/>
  </r>
  <r>
    <s v="Instagram"/>
    <s v="2024-07-01"/>
    <s v="Story"/>
    <s v="Check out our latest story on instagram!"/>
    <n v="4808"/>
    <n v="772"/>
    <n v="320"/>
    <n v="72120"/>
    <n v="5580.0044370493624"/>
    <n v="5900"/>
    <n v="71696"/>
    <n v="195"/>
    <s v="#ThirstyForMore"/>
    <m/>
    <m/>
    <x v="6"/>
    <s v="SummerSplash"/>
  </r>
  <r>
    <s v="YouTube"/>
    <s v="2024-09-02"/>
    <s v="Image"/>
    <s v="Check out our latest image on youtube!"/>
    <n v="4905"/>
    <n v="845"/>
    <n v="129"/>
    <n v="98100"/>
    <n v="5750.0013149847091"/>
    <n v="5879"/>
    <n v="97772"/>
    <n v="279"/>
    <s v="#PepsiCoRefresh"/>
    <m/>
    <m/>
    <x v="6"/>
    <s v="FestiveRadiance"/>
  </r>
  <r>
    <s v="YouTube"/>
    <s v="2025-04-17"/>
    <s v="Carousel"/>
    <s v="Check out our latest carousel on youtube!"/>
    <n v="4780"/>
    <n v="691"/>
    <n v="380"/>
    <n v="86040"/>
    <n v="5471.0044165504414"/>
    <n v="5851"/>
    <n v="85743"/>
    <n v="262"/>
    <s v="#LiveForNow"/>
    <m/>
    <m/>
    <x v="6"/>
    <s v="NewYearRefresh"/>
  </r>
  <r>
    <s v="Instagram"/>
    <s v="2024-07-03"/>
    <s v="Carousel"/>
    <s v="Check out our latest carousel on instagram!"/>
    <n v="4799"/>
    <n v="694"/>
    <n v="289"/>
    <n v="43191"/>
    <n v="5493.0066912088168"/>
    <n v="5782"/>
    <n v="42228"/>
    <n v="118"/>
    <s v="#PepsiCoRefresh"/>
    <m/>
    <m/>
    <x v="6"/>
    <m/>
  </r>
  <r>
    <s v="Facebook"/>
    <s v="2024-12-03"/>
    <s v="Image"/>
    <s v="Check out our latest image on facebook!"/>
    <n v="4606"/>
    <n v="931"/>
    <n v="230"/>
    <n v="92120"/>
    <n v="5537.0024967433783"/>
    <n v="5767"/>
    <n v="91440"/>
    <n v="56"/>
    <s v="#PepsiCoRefresh"/>
    <m/>
    <m/>
    <x v="6"/>
    <m/>
  </r>
  <r>
    <s v="YouTube"/>
    <s v="2024-06-21"/>
    <s v="Image"/>
    <s v="Check out our latest image on youtube!"/>
    <n v="4832"/>
    <n v="893"/>
    <n v="10"/>
    <n v="91808"/>
    <n v="5725.00010892297"/>
    <n v="5735"/>
    <n v="91296"/>
    <n v="182"/>
    <s v="#PepsiCoRefresh"/>
    <m/>
    <m/>
    <x v="6"/>
    <m/>
  </r>
  <r>
    <s v="Instagram"/>
    <s v="2024-10-21"/>
    <s v="Reel"/>
    <s v="Check out our latest reel on instagram!"/>
    <n v="4840"/>
    <n v="658"/>
    <n v="211"/>
    <n v="43560"/>
    <n v="5498.00484389348"/>
    <n v="5709"/>
    <n v="43225"/>
    <n v="57"/>
    <s v="#LiveForNow"/>
    <m/>
    <m/>
    <x v="6"/>
    <s v="NewYearRefresh"/>
  </r>
  <r>
    <s v="Instagram"/>
    <s v="2024-11-28"/>
    <s v="Text"/>
    <s v="Check out our latest text on instagram!"/>
    <n v="4771"/>
    <n v="818"/>
    <n v="56"/>
    <n v="57252"/>
    <n v="5589.0009781317685"/>
    <n v="5645"/>
    <n v="56378"/>
    <n v="150"/>
    <s v="#LiveForNow"/>
    <m/>
    <m/>
    <x v="6"/>
    <m/>
  </r>
  <r>
    <s v="Facebook"/>
    <s v="2025-04-22"/>
    <s v="Image"/>
    <s v="Check out our latest image on facebook!"/>
    <n v="4804"/>
    <n v="550"/>
    <n v="270"/>
    <n v="28824"/>
    <n v="5354.0093671940049"/>
    <n v="5624"/>
    <n v="28370"/>
    <n v="47"/>
    <s v="#ThirstyForMore"/>
    <m/>
    <m/>
    <x v="6"/>
    <s v="DailyWellness"/>
  </r>
  <r>
    <s v="Instagram"/>
    <s v="2025-03-27"/>
    <s v="Text"/>
    <s v="Check out our latest text on instagram!"/>
    <n v="4941"/>
    <n v="414"/>
    <n v="266"/>
    <n v="39528"/>
    <n v="5355.0067294070022"/>
    <n v="5621"/>
    <n v="39154"/>
    <n v="217"/>
    <s v="#PepsiCoRefresh"/>
    <m/>
    <m/>
    <x v="6"/>
    <s v="NewYearRefresh"/>
  </r>
  <r>
    <s v="Instagram"/>
    <s v="2025-01-04"/>
    <s v="Reel"/>
    <s v="Check out our latest reel on instagram!"/>
    <n v="4838"/>
    <n v="640"/>
    <n v="128"/>
    <n v="72570"/>
    <n v="5478.0017638142481"/>
    <n v="5606"/>
    <n v="72396"/>
    <n v="83"/>
    <s v="#LiveForNow"/>
    <m/>
    <m/>
    <x v="6"/>
    <s v="DailyWellness"/>
  </r>
  <r>
    <s v="Twitter"/>
    <s v="2024-10-22"/>
    <s v="Reel"/>
    <s v="Check out our latest reel on twitter!"/>
    <n v="4782"/>
    <n v="721"/>
    <n v="82"/>
    <n v="86076"/>
    <n v="5503.0009526464983"/>
    <n v="5585"/>
    <n v="85339"/>
    <n v="19"/>
    <s v="#ThirstyForMore"/>
    <m/>
    <m/>
    <x v="6"/>
    <s v="SummerSplash"/>
  </r>
  <r>
    <s v="YouTube"/>
    <s v="2024-10-18"/>
    <s v="Video"/>
    <s v="Check out our latest video on youtube!"/>
    <n v="4450"/>
    <n v="983"/>
    <n v="143"/>
    <n v="75650"/>
    <n v="5433.0018902842039"/>
    <n v="5576"/>
    <n v="75008"/>
    <n v="12"/>
    <s v="#LiveForNow"/>
    <m/>
    <m/>
    <x v="6"/>
    <s v="NewYearRefresh"/>
  </r>
  <r>
    <s v="YouTube"/>
    <s v="2024-12-03"/>
    <s v="Story"/>
    <s v="Check out our latest story on youtube!"/>
    <n v="4285"/>
    <n v="886"/>
    <n v="376"/>
    <n v="55705"/>
    <n v="5171.0067498429225"/>
    <n v="5547"/>
    <n v="55556"/>
    <n v="51"/>
    <s v="#LiveForNow"/>
    <m/>
    <m/>
    <x v="6"/>
    <s v="NewYearRefresh"/>
  </r>
  <r>
    <s v="Twitter"/>
    <s v="2024-11-26"/>
    <s v="Text"/>
    <s v="Check out our latest text on twitter!"/>
    <n v="4516"/>
    <n v="836"/>
    <n v="169"/>
    <n v="49676"/>
    <n v="5352.0034020452531"/>
    <n v="5521"/>
    <n v="49257"/>
    <n v="282"/>
    <s v="#ThirstyForMore"/>
    <m/>
    <m/>
    <x v="6"/>
    <s v="DailyWellness"/>
  </r>
  <r>
    <s v="Twitter"/>
    <s v="2024-07-16"/>
    <s v="Text"/>
    <s v="Check out our latest text on twitter!"/>
    <n v="4725"/>
    <n v="400"/>
    <n v="362"/>
    <n v="75600"/>
    <n v="5125.0047883597881"/>
    <n v="5487"/>
    <n v="74927"/>
    <n v="43"/>
    <s v="#LiveForNow"/>
    <m/>
    <m/>
    <x v="6"/>
    <s v="DailyWellness"/>
  </r>
  <r>
    <s v="YouTube"/>
    <s v="2024-08-22"/>
    <s v="Carousel"/>
    <s v="Check out our latest carousel on youtube!"/>
    <n v="4295"/>
    <n v="853"/>
    <n v="325"/>
    <n v="85900"/>
    <n v="5148.0037834691502"/>
    <n v="5473"/>
    <n v="85788"/>
    <n v="290"/>
    <s v="#PepsiCoRefresh"/>
    <m/>
    <m/>
    <x v="6"/>
    <s v="DailyWellness"/>
  </r>
  <r>
    <s v="Facebook"/>
    <s v="2024-11-04"/>
    <s v="Image"/>
    <s v="Check out our latest image on facebook!"/>
    <n v="4551"/>
    <n v="714"/>
    <n v="207"/>
    <n v="68265"/>
    <n v="5265.0030323005931"/>
    <n v="5472"/>
    <n v="67754"/>
    <n v="57"/>
    <s v="#LiveForNow"/>
    <m/>
    <m/>
    <x v="6"/>
    <s v="NewYearRefresh"/>
  </r>
  <r>
    <s v="Facebook"/>
    <s v="2025-03-29"/>
    <s v="Carousel"/>
    <s v="Check out our latest carousel on facebook!"/>
    <n v="4712"/>
    <n v="568"/>
    <n v="127"/>
    <n v="84816"/>
    <n v="5280.0014973589887"/>
    <n v="5407"/>
    <n v="84691"/>
    <n v="100"/>
    <s v="#ThirstyForMore"/>
    <m/>
    <m/>
    <x v="6"/>
    <s v="NewYearRefresh"/>
  </r>
  <r>
    <s v="Instagram"/>
    <s v="2024-08-13"/>
    <s v="Image"/>
    <s v="Check out our latest image on instagram!"/>
    <n v="4739"/>
    <n v="527"/>
    <n v="135"/>
    <n v="61607"/>
    <n v="5266.0021913094288"/>
    <n v="5401"/>
    <n v="61333"/>
    <n v="36"/>
    <s v="#PepsiCoRefresh"/>
    <s v="#AnytimeIsPepsiTime"/>
    <m/>
    <x v="6"/>
    <s v="FestiveRadiance"/>
  </r>
  <r>
    <s v="Facebook"/>
    <s v="2025-01-18"/>
    <s v="Story"/>
    <s v="Check out our latest story on facebook!"/>
    <n v="4321"/>
    <n v="874"/>
    <n v="172"/>
    <n v="30247"/>
    <n v="5195.0056865143652"/>
    <n v="5367"/>
    <n v="29254"/>
    <n v="122"/>
    <s v="#PepsiCoRefresh"/>
    <m/>
    <m/>
    <x v="6"/>
    <s v="DailyWellness"/>
  </r>
  <r>
    <s v="YouTube"/>
    <s v="2024-10-21"/>
    <s v="Video"/>
    <s v="Check out our latest video on youtube!"/>
    <n v="4275"/>
    <n v="680"/>
    <n v="385"/>
    <n v="64125"/>
    <n v="4955.0060038986358"/>
    <n v="5340"/>
    <n v="63650"/>
    <n v="104"/>
    <s v="#ThirstyForMore"/>
    <s v="#PepsiCoRefresh"/>
    <s v="#AnytimeIsPepsiTime"/>
    <x v="6"/>
    <s v="DailyWellness"/>
  </r>
  <r>
    <s v="Instagram"/>
    <s v="2025-02-12"/>
    <s v="Story"/>
    <s v="Check out our latest story on instagram!"/>
    <n v="4332"/>
    <n v="771"/>
    <n v="219"/>
    <n v="60648"/>
    <n v="5103.003611001187"/>
    <n v="5322"/>
    <n v="60397"/>
    <n v="10"/>
    <s v="#PepsiCoRefresh"/>
    <s v="#ThirstyForMore"/>
    <s v="#BetterWithPepsi"/>
    <x v="6"/>
    <s v="NewYearRefresh"/>
  </r>
  <r>
    <s v="Twitter"/>
    <s v="2025-03-07"/>
    <s v="Image"/>
    <s v="Check out our latest image on twitter!"/>
    <n v="4750"/>
    <n v="151"/>
    <n v="415"/>
    <n v="38000"/>
    <n v="4901.0109210526316"/>
    <n v="5316"/>
    <n v="37792"/>
    <n v="299"/>
    <s v="#ThirstyForMore"/>
    <m/>
    <m/>
    <x v="6"/>
    <s v="DailyWellness"/>
  </r>
  <r>
    <s v="Twitter"/>
    <s v="2024-09-11"/>
    <s v="Image"/>
    <s v="Check out our latest image on twitter!"/>
    <n v="4858"/>
    <n v="317"/>
    <n v="129"/>
    <n v="53438"/>
    <n v="5175.0024140125006"/>
    <n v="5304"/>
    <n v="52687"/>
    <n v="223"/>
    <s v="#ThirstyForMore"/>
    <m/>
    <m/>
    <x v="6"/>
    <s v="NewYearRefresh"/>
  </r>
  <r>
    <s v="Facebook"/>
    <s v="2024-07-07"/>
    <s v="Reel"/>
    <s v="Check out our latest reel on facebook!"/>
    <n v="4767"/>
    <n v="190"/>
    <n v="340"/>
    <n v="28602"/>
    <n v="4957.0118872806097"/>
    <n v="5297"/>
    <n v="28044"/>
    <n v="210"/>
    <s v="#ThirstyForMore"/>
    <m/>
    <m/>
    <x v="6"/>
    <s v="NewYearRefresh"/>
  </r>
  <r>
    <s v="Twitter"/>
    <s v="2025-03-25"/>
    <s v="Video"/>
    <s v="Check out our latest video on twitter!"/>
    <n v="4050"/>
    <n v="871"/>
    <n v="347"/>
    <n v="52650"/>
    <n v="4921.0065906932577"/>
    <n v="5268"/>
    <n v="51755"/>
    <n v="209"/>
    <s v="#PepsiCoRefresh"/>
    <m/>
    <m/>
    <x v="6"/>
    <s v="FestiveRadiance"/>
  </r>
  <r>
    <s v="Twitter"/>
    <s v="2024-08-31"/>
    <s v="Carousel"/>
    <s v="Check out our latest carousel on twitter!"/>
    <n v="4494"/>
    <n v="717"/>
    <n v="45"/>
    <n v="62916"/>
    <n v="5211.0007152393664"/>
    <n v="5256"/>
    <n v="62688"/>
    <n v="191"/>
    <s v="#PepsiCoRefresh"/>
    <s v="#ThirstyForMore"/>
    <s v="#BetterWithPepsi"/>
    <x v="6"/>
    <s v="SummerSplash"/>
  </r>
  <r>
    <s v="YouTube"/>
    <s v="2025-02-24"/>
    <s v="Text"/>
    <s v="Check out our latest text on youtube!"/>
    <n v="4188"/>
    <n v="942"/>
    <n v="118"/>
    <n v="20940"/>
    <n v="5130.0056351480416"/>
    <n v="5248"/>
    <n v="20471"/>
    <n v="102"/>
    <s v="#LiveForNow"/>
    <m/>
    <m/>
    <x v="6"/>
    <m/>
  </r>
  <r>
    <s v="Facebook"/>
    <s v="2025-04-06"/>
    <s v="Image"/>
    <s v="Check out our latest image on facebook!"/>
    <n v="4236"/>
    <n v="711"/>
    <n v="298"/>
    <n v="21180"/>
    <n v="4947.0140698772429"/>
    <n v="5245"/>
    <n v="20516"/>
    <n v="238"/>
    <s v="#LiveForNow"/>
    <m/>
    <m/>
    <x v="6"/>
    <s v="SummerSplash"/>
  </r>
  <r>
    <s v="Facebook"/>
    <s v="2024-07-31"/>
    <s v="Image"/>
    <s v="Check out our latest image on facebook!"/>
    <n v="4689"/>
    <n v="134"/>
    <n v="403"/>
    <n v="51579"/>
    <n v="4823.0078132573335"/>
    <n v="5226"/>
    <n v="50924"/>
    <n v="173"/>
    <s v="#PepsiCoRefresh"/>
    <m/>
    <m/>
    <x v="6"/>
    <s v="DailyWellness"/>
  </r>
  <r>
    <s v="Instagram"/>
    <s v="2025-04-08"/>
    <s v="Image"/>
    <s v="Check out our latest image on instagram!"/>
    <n v="4501"/>
    <n v="375"/>
    <n v="323"/>
    <n v="22505"/>
    <n v="4876.0143523661409"/>
    <n v="5199"/>
    <n v="21836"/>
    <n v="132"/>
    <s v="#PepsiCoRefresh"/>
    <m/>
    <m/>
    <x v="6"/>
    <s v="FestiveRadiance"/>
  </r>
  <r>
    <s v="Facebook"/>
    <s v="2025-03-11"/>
    <s v="Image"/>
    <s v="Check out our latest image on facebook!"/>
    <n v="4241"/>
    <n v="902"/>
    <n v="47"/>
    <n v="72097"/>
    <n v="5143.0006518995242"/>
    <n v="5190"/>
    <n v="71598"/>
    <n v="167"/>
    <s v="#PepsiCoRefresh"/>
    <m/>
    <m/>
    <x v="6"/>
    <s v="FestiveRadiance"/>
  </r>
  <r>
    <s v="Instagram"/>
    <s v="2025-04-19"/>
    <s v="Story"/>
    <s v="Check out our latest story on instagram!"/>
    <n v="4518"/>
    <n v="285"/>
    <n v="383"/>
    <n v="67770"/>
    <n v="4803.005651468201"/>
    <n v="5186"/>
    <n v="67621"/>
    <n v="31"/>
    <s v="#ThirstyForMore"/>
    <m/>
    <m/>
    <x v="6"/>
    <s v="FestiveRadiance"/>
  </r>
  <r>
    <s v="Facebook"/>
    <s v="2024-06-19"/>
    <s v="Carousel"/>
    <s v="Check out our latest carousel on facebook!"/>
    <n v="4731"/>
    <n v="173"/>
    <n v="276"/>
    <n v="28386"/>
    <n v="4904.0097231029376"/>
    <n v="5180"/>
    <n v="28185"/>
    <n v="89"/>
    <s v="#ThirstyForMore"/>
    <m/>
    <m/>
    <x v="6"/>
    <s v="NewYearRefresh"/>
  </r>
  <r>
    <s v="Twitter"/>
    <s v="2024-11-14"/>
    <s v="Story"/>
    <s v="Check out our latest story on twitter!"/>
    <n v="4000"/>
    <n v="689"/>
    <n v="488"/>
    <n v="40000"/>
    <n v="4689.0122000000001"/>
    <n v="5177"/>
    <n v="39569"/>
    <n v="44"/>
    <s v="#LiveForNow"/>
    <m/>
    <m/>
    <x v="6"/>
    <s v="SummerSplash"/>
  </r>
  <r>
    <s v="Twitter"/>
    <s v="2024-10-21"/>
    <s v="Story"/>
    <s v="Check out our latest story on twitter!"/>
    <n v="3801"/>
    <n v="967"/>
    <n v="401"/>
    <n v="38010"/>
    <n v="4768.0105498553012"/>
    <n v="5169"/>
    <n v="37625"/>
    <n v="236"/>
    <s v="#LiveForNow"/>
    <m/>
    <m/>
    <x v="6"/>
    <s v="NewYearRefresh"/>
  </r>
  <r>
    <s v="YouTube"/>
    <s v="2024-07-23"/>
    <s v="Story"/>
    <s v="Check out our latest story on youtube!"/>
    <n v="4775"/>
    <n v="173"/>
    <n v="206"/>
    <n v="47750"/>
    <n v="4948.0043141361257"/>
    <n v="5154"/>
    <n v="47544"/>
    <n v="187"/>
    <s v="#LiveForNow"/>
    <m/>
    <m/>
    <x v="6"/>
    <s v="FestiveRadiance"/>
  </r>
  <r>
    <s v="Instagram"/>
    <s v="2024-06-14"/>
    <s v="Story"/>
    <s v="Check out our latest story on instagram!"/>
    <n v="4363"/>
    <n v="649"/>
    <n v="140"/>
    <n v="21815"/>
    <n v="5012.0064176025671"/>
    <n v="5152"/>
    <n v="21481"/>
    <n v="157"/>
    <s v="#ThirstyForMore"/>
    <m/>
    <m/>
    <x v="6"/>
    <s v="SummerSplash"/>
  </r>
  <r>
    <s v="YouTube"/>
    <s v="2024-10-02"/>
    <s v="Story"/>
    <s v="Check out our latest story on youtube!"/>
    <n v="4350"/>
    <n v="771"/>
    <n v="7"/>
    <n v="60900"/>
    <n v="5121.0001149425289"/>
    <n v="5128"/>
    <n v="60592"/>
    <n v="195"/>
    <s v="#ThirstyForMore"/>
    <m/>
    <m/>
    <x v="6"/>
    <s v="SummerSplash"/>
  </r>
  <r>
    <s v="Facebook"/>
    <s v="2024-11-25"/>
    <s v="Story"/>
    <s v="Check out our latest story on facebook!"/>
    <n v="4182"/>
    <n v="640"/>
    <n v="240"/>
    <n v="50184"/>
    <n v="4822.0047824007652"/>
    <n v="5062"/>
    <n v="49351"/>
    <n v="10"/>
    <s v="#PepsiCoRefresh"/>
    <m/>
    <m/>
    <x v="6"/>
    <s v="NewYearRefresh"/>
  </r>
  <r>
    <s v="Facebook"/>
    <s v="2025-01-12"/>
    <s v="Reel"/>
    <s v="Check out our latest reel on facebook!"/>
    <n v="4134"/>
    <n v="824"/>
    <n v="99"/>
    <n v="41340"/>
    <n v="4958.002394775036"/>
    <n v="5057"/>
    <n v="41050"/>
    <n v="177"/>
    <s v="#ThirstyForMore"/>
    <m/>
    <m/>
    <x v="6"/>
    <s v="SummerSplash"/>
  </r>
  <r>
    <s v="Instagram"/>
    <s v="2024-11-05"/>
    <s v="Video"/>
    <s v="Check out our latest video on instagram!"/>
    <n v="4561"/>
    <n v="51"/>
    <n v="441"/>
    <n v="22805"/>
    <n v="4612.0193378645035"/>
    <n v="5053"/>
    <n v="21890"/>
    <n v="45"/>
    <s v="#PepsiCoRefresh"/>
    <m/>
    <m/>
    <x v="6"/>
    <s v="FestiveRadiance"/>
  </r>
  <r>
    <s v="Facebook"/>
    <s v="2024-10-24"/>
    <s v="Image"/>
    <s v="Check out our latest image on facebook!"/>
    <n v="4303"/>
    <n v="451"/>
    <n v="286"/>
    <n v="86060"/>
    <n v="4754.0033232628402"/>
    <n v="5040"/>
    <n v="85823"/>
    <n v="14"/>
    <s v="#PepsiCoRefresh"/>
    <m/>
    <m/>
    <x v="6"/>
    <s v="NewYearRefresh"/>
  </r>
  <r>
    <s v="Facebook"/>
    <s v="2024-10-18"/>
    <s v="Story"/>
    <s v="Check out our latest story on facebook!"/>
    <n v="4126"/>
    <n v="426"/>
    <n v="486"/>
    <n v="78394"/>
    <n v="4552.0061994540401"/>
    <n v="5038"/>
    <n v="77798"/>
    <n v="88"/>
    <s v="#LiveForNow"/>
    <m/>
    <m/>
    <x v="6"/>
    <s v="DailyWellness"/>
  </r>
  <r>
    <s v="Facebook"/>
    <s v="2024-11-06"/>
    <s v="Video"/>
    <s v="Check out our latest video on facebook!"/>
    <n v="4663"/>
    <n v="145"/>
    <n v="225"/>
    <n v="69945"/>
    <n v="4808.0032168132102"/>
    <n v="5033"/>
    <n v="69596"/>
    <n v="35"/>
    <s v="#ThirstyForMore"/>
    <m/>
    <m/>
    <x v="6"/>
    <s v="DailyWellness"/>
  </r>
  <r>
    <s v="Twitter"/>
    <s v="2024-06-20"/>
    <s v="Carousel"/>
    <s v="Check out our latest carousel on twitter!"/>
    <n v="4672"/>
    <n v="325"/>
    <n v="32"/>
    <n v="88768"/>
    <n v="4997.0003604902668"/>
    <n v="5029"/>
    <n v="87833"/>
    <n v="118"/>
    <s v="#ThirstyForMore"/>
    <m/>
    <m/>
    <x v="6"/>
    <m/>
  </r>
  <r>
    <s v="Twitter"/>
    <s v="2024-10-02"/>
    <s v="Carousel"/>
    <s v="Check out our latest carousel on twitter!"/>
    <n v="4419"/>
    <n v="236"/>
    <n v="369"/>
    <n v="44190"/>
    <n v="4655.0083503054993"/>
    <n v="5024"/>
    <n v="43582"/>
    <n v="10"/>
    <s v="#ThirstyForMore"/>
    <m/>
    <m/>
    <x v="6"/>
    <s v="SummerSplash"/>
  </r>
  <r>
    <s v="Facebook"/>
    <s v="2025-05-05"/>
    <s v="Text"/>
    <s v="Check out our latest text on facebook!"/>
    <n v="4441"/>
    <n v="511"/>
    <n v="70"/>
    <n v="53292"/>
    <n v="4952.0013135179761"/>
    <n v="5022"/>
    <n v="53082"/>
    <n v="159"/>
    <s v="#ThirstyForMore"/>
    <m/>
    <m/>
    <x v="6"/>
    <s v="DailyWellness"/>
  </r>
  <r>
    <s v="Facebook"/>
    <s v="2024-06-22"/>
    <s v="Reel"/>
    <s v="Check out our latest reel on facebook!"/>
    <n v="3813"/>
    <n v="935"/>
    <n v="274"/>
    <n v="68634"/>
    <n v="4748.0039921904599"/>
    <n v="5022"/>
    <n v="68488"/>
    <n v="251"/>
    <s v="#LiveForNow"/>
    <m/>
    <m/>
    <x v="6"/>
    <m/>
  </r>
  <r>
    <s v="Instagram"/>
    <s v="2025-04-13"/>
    <s v="Reel"/>
    <s v="Check out our latest reel on instagram!"/>
    <n v="4579"/>
    <n v="125"/>
    <n v="300"/>
    <n v="59527"/>
    <n v="4704.0050397298701"/>
    <n v="5004"/>
    <n v="59400"/>
    <n v="269"/>
    <s v="#ThirstyForMore"/>
    <m/>
    <m/>
    <x v="6"/>
    <s v="SummerSplash"/>
  </r>
  <r>
    <s v="Facebook"/>
    <s v="2024-08-30"/>
    <s v="Text"/>
    <s v="Check out our latest text on facebook!"/>
    <n v="3784"/>
    <n v="808"/>
    <n v="404"/>
    <n v="56760"/>
    <n v="4592.0071176885131"/>
    <n v="4996"/>
    <n v="56343"/>
    <n v="131"/>
    <s v="#PepsiCoRefresh"/>
    <m/>
    <m/>
    <x v="6"/>
    <s v="FestiveRadiance"/>
  </r>
  <r>
    <s v="Facebook"/>
    <s v="2025-03-23"/>
    <s v="Video"/>
    <s v="Check out our latest video on facebook!"/>
    <n v="4453"/>
    <n v="111"/>
    <n v="420"/>
    <n v="31171"/>
    <n v="4564.0134740624299"/>
    <n v="4984"/>
    <n v="30565"/>
    <n v="23"/>
    <s v="#PepsiCoRefresh"/>
    <m/>
    <m/>
    <x v="6"/>
    <m/>
  </r>
  <r>
    <s v="Twitter"/>
    <s v="2025-04-03"/>
    <s v="Text"/>
    <s v="Check out our latest text on twitter!"/>
    <n v="4054"/>
    <n v="389"/>
    <n v="493"/>
    <n v="64864"/>
    <n v="4443.0076005180072"/>
    <n v="4936"/>
    <n v="64383"/>
    <n v="117"/>
    <s v="#PepsiCoRefresh"/>
    <s v="#BetterWithPepsi"/>
    <m/>
    <x v="6"/>
    <s v="FestiveRadiance"/>
  </r>
  <r>
    <s v="Facebook"/>
    <s v="2025-02-16"/>
    <s v="Story"/>
    <s v="Check out our latest story on facebook!"/>
    <n v="4242"/>
    <n v="555"/>
    <n v="131"/>
    <n v="33936"/>
    <n v="4797.0038602074492"/>
    <n v="4928"/>
    <n v="33802"/>
    <n v="265"/>
    <s v="#LiveForNow"/>
    <m/>
    <m/>
    <x v="6"/>
    <m/>
  </r>
  <r>
    <s v="Instagram"/>
    <s v="2025-04-15"/>
    <s v="Video"/>
    <s v="Check out our latest video on instagram!"/>
    <n v="4133"/>
    <n v="466"/>
    <n v="327"/>
    <n v="24798"/>
    <n v="4599.0131865473022"/>
    <n v="4926"/>
    <n v="24620"/>
    <n v="176"/>
    <s v="#ThirstyForMore"/>
    <m/>
    <m/>
    <x v="6"/>
    <s v="DailyWellness"/>
  </r>
  <r>
    <s v="Instagram"/>
    <s v="2024-06-03"/>
    <s v="Image"/>
    <s v="Check out our latest image on instagram!"/>
    <n v="3861"/>
    <n v="960"/>
    <n v="101"/>
    <n v="69498"/>
    <n v="4821.0014532792311"/>
    <n v="4922"/>
    <n v="68817"/>
    <n v="297"/>
    <s v="#PepsiCoRefresh"/>
    <m/>
    <m/>
    <x v="6"/>
    <s v="DailyWellness"/>
  </r>
  <r>
    <s v="Instagram"/>
    <s v="2024-09-09"/>
    <s v="Carousel"/>
    <s v="Check out our latest carousel on instagram!"/>
    <n v="4054"/>
    <n v="488"/>
    <n v="373"/>
    <n v="77026"/>
    <n v="4542.0048425207069"/>
    <n v="4915"/>
    <n v="76881"/>
    <n v="25"/>
    <s v="#PepsiCoRefresh"/>
    <m/>
    <m/>
    <x v="6"/>
    <s v="SummerSplash"/>
  </r>
  <r>
    <s v="Facebook"/>
    <s v="2024-11-28"/>
    <s v="Text"/>
    <s v="Check out our latest text on facebook!"/>
    <n v="4213"/>
    <n v="253"/>
    <n v="434"/>
    <n v="75834"/>
    <n v="4466.0057230266111"/>
    <n v="4900"/>
    <n v="75437"/>
    <n v="272"/>
    <s v="#LiveForNow"/>
    <m/>
    <m/>
    <x v="6"/>
    <s v="DailyWellness"/>
  </r>
  <r>
    <s v="Twitter"/>
    <s v="2024-12-29"/>
    <s v="Carousel"/>
    <s v="Check out our latest carousel on twitter!"/>
    <n v="4274"/>
    <n v="340"/>
    <n v="281"/>
    <n v="34192"/>
    <n v="4614.008218296678"/>
    <n v="4895"/>
    <n v="33446"/>
    <n v="129"/>
    <s v="#PepsiCoRefresh"/>
    <s v="#SmoothLikeNitroPepsi"/>
    <m/>
    <x v="6"/>
    <s v="NewYearRefresh"/>
  </r>
  <r>
    <s v="Twitter"/>
    <s v="2024-09-08"/>
    <s v="Carousel"/>
    <s v="Check out our latest carousel on twitter!"/>
    <n v="3811"/>
    <n v="866"/>
    <n v="216"/>
    <n v="34299"/>
    <n v="4677.0062975596957"/>
    <n v="4893"/>
    <n v="34088"/>
    <n v="233"/>
    <s v="#PepsiCoRefresh"/>
    <m/>
    <m/>
    <x v="6"/>
    <s v="DailyWellness"/>
  </r>
  <r>
    <s v="YouTube"/>
    <s v="2024-07-18"/>
    <s v="Text"/>
    <s v="Check out our latest text on youtube!"/>
    <n v="4021"/>
    <n v="794"/>
    <n v="77"/>
    <n v="36189"/>
    <n v="4815.0021277183678"/>
    <n v="4892"/>
    <n v="35505"/>
    <n v="174"/>
    <s v="#ThirstyForMore"/>
    <m/>
    <m/>
    <x v="6"/>
    <m/>
  </r>
  <r>
    <s v="Twitter"/>
    <s v="2025-03-06"/>
    <s v="Image"/>
    <s v="Check out our latest image on twitter!"/>
    <n v="3592"/>
    <n v="911"/>
    <n v="375"/>
    <n v="50288"/>
    <n v="4503.0074570474071"/>
    <n v="4878"/>
    <n v="49490"/>
    <n v="32"/>
    <s v="#LiveForNow"/>
    <m/>
    <m/>
    <x v="6"/>
    <s v="DailyWellness"/>
  </r>
  <r>
    <s v="Facebook"/>
    <s v="2024-07-15"/>
    <s v="Carousel"/>
    <s v="Check out our latest carousel on facebook!"/>
    <n v="3796"/>
    <n v="667"/>
    <n v="395"/>
    <n v="64532"/>
    <n v="4463.0061209942351"/>
    <n v="4858"/>
    <n v="63550"/>
    <n v="292"/>
    <s v="#PepsiCoRefresh"/>
    <m/>
    <m/>
    <x v="6"/>
    <m/>
  </r>
  <r>
    <s v="Facebook"/>
    <s v="2025-01-23"/>
    <s v="Video"/>
    <s v="Check out our latest video on facebook!"/>
    <n v="3961"/>
    <n v="761"/>
    <n v="131"/>
    <n v="67337"/>
    <n v="4722.0019454386147"/>
    <n v="4853"/>
    <n v="66615"/>
    <n v="161"/>
    <s v="#LiveForNow"/>
    <m/>
    <m/>
    <x v="6"/>
    <s v="NewYearRefresh"/>
  </r>
  <r>
    <s v="Instagram"/>
    <s v="2024-10-22"/>
    <s v="Story"/>
    <s v="Check out our latest story on instagram!"/>
    <n v="3770"/>
    <n v="917"/>
    <n v="129"/>
    <n v="71630"/>
    <n v="4687.0018009214018"/>
    <n v="4816"/>
    <n v="71322"/>
    <n v="76"/>
    <s v="#LiveForNow"/>
    <m/>
    <m/>
    <x v="6"/>
    <s v="SummerSplash"/>
  </r>
  <r>
    <s v="YouTube"/>
    <s v="2024-07-02"/>
    <s v="Carousel"/>
    <s v="Check out our latest carousel on youtube!"/>
    <n v="4171"/>
    <n v="548"/>
    <n v="86"/>
    <n v="66736"/>
    <n v="4719.0012886597942"/>
    <n v="4805"/>
    <n v="66634"/>
    <n v="173"/>
    <s v="#LiveForNow"/>
    <m/>
    <m/>
    <x v="6"/>
    <s v="NewYearRefresh"/>
  </r>
  <r>
    <s v="Instagram"/>
    <s v="2025-04-19"/>
    <s v="Image"/>
    <s v="Check out our latest image on instagram!"/>
    <n v="4177"/>
    <n v="569"/>
    <n v="55"/>
    <n v="25062"/>
    <n v="4746.0021945574972"/>
    <n v="4801"/>
    <n v="24847"/>
    <n v="230"/>
    <s v="#LiveForNow"/>
    <m/>
    <m/>
    <x v="6"/>
    <s v="SummerSplash"/>
  </r>
  <r>
    <s v="Twitter"/>
    <s v="2025-04-24"/>
    <s v="Video"/>
    <s v="Check out our latest video on twitter!"/>
    <n v="3820"/>
    <n v="697"/>
    <n v="268"/>
    <n v="45840"/>
    <n v="4517.0058464223384"/>
    <n v="4785"/>
    <n v="45631"/>
    <n v="171"/>
    <s v="#PepsiCoRefresh"/>
    <s v="#SmoothLikeNitroPepsi"/>
    <m/>
    <x v="6"/>
    <s v="DailyWellness"/>
  </r>
  <r>
    <s v="YouTube"/>
    <s v="2025-03-03"/>
    <s v="Video"/>
    <s v="Check out our latest video on youtube!"/>
    <n v="3874"/>
    <n v="884"/>
    <n v="19"/>
    <n v="38740"/>
    <n v="4758.0004904491479"/>
    <n v="4777"/>
    <n v="38552"/>
    <n v="219"/>
    <s v="#PepsiCoRefresh"/>
    <m/>
    <m/>
    <x v="6"/>
    <s v="FestiveRadiance"/>
  </r>
  <r>
    <s v="Facebook"/>
    <s v="2024-10-22"/>
    <s v="Carousel"/>
    <s v="Check out our latest carousel on facebook!"/>
    <n v="3352"/>
    <n v="941"/>
    <n v="482"/>
    <n v="43576"/>
    <n v="4293.0110611345699"/>
    <n v="4775"/>
    <n v="43338"/>
    <n v="240"/>
    <s v="#LiveForNow"/>
    <m/>
    <m/>
    <x v="6"/>
    <s v="FestiveRadiance"/>
  </r>
  <r>
    <s v="Instagram"/>
    <s v="2024-07-29"/>
    <s v="Reel"/>
    <s v="Check out our latest reel on instagram!"/>
    <n v="3523"/>
    <n v="753"/>
    <n v="482"/>
    <n v="38753"/>
    <n v="4276.0124377467555"/>
    <n v="4758"/>
    <n v="38579"/>
    <n v="270"/>
    <s v="#ThirstyForMore"/>
    <m/>
    <m/>
    <x v="6"/>
    <s v="FestiveRadiance"/>
  </r>
  <r>
    <s v="Instagram"/>
    <s v="2025-01-11"/>
    <s v="Carousel"/>
    <s v="Check out our latest carousel on instagram!"/>
    <n v="4523"/>
    <n v="61"/>
    <n v="157"/>
    <n v="49753"/>
    <n v="4584.003155588608"/>
    <n v="4741"/>
    <n v="49329"/>
    <n v="71"/>
    <s v="#ThirstyForMore"/>
    <m/>
    <m/>
    <x v="6"/>
    <m/>
  </r>
  <r>
    <s v="Twitter"/>
    <s v="2024-07-31"/>
    <s v="Carousel"/>
    <s v="Check out our latest carousel on twitter!"/>
    <n v="4507"/>
    <n v="217"/>
    <n v="13"/>
    <n v="90140"/>
    <n v="4724.0001442201019"/>
    <n v="4737"/>
    <n v="89591"/>
    <n v="125"/>
    <s v="#LiveForNow"/>
    <m/>
    <m/>
    <x v="6"/>
    <s v="NewYearRefresh"/>
  </r>
  <r>
    <s v="Facebook"/>
    <s v="2024-08-24"/>
    <s v="Carousel"/>
    <s v="Check out our latest carousel on facebook!"/>
    <n v="4292"/>
    <n v="51"/>
    <n v="392"/>
    <n v="55796"/>
    <n v="4343.0070255932324"/>
    <n v="4735"/>
    <n v="54826"/>
    <n v="264"/>
    <s v="#ThirstyForMore"/>
    <m/>
    <m/>
    <x v="6"/>
    <s v="NewYearRefresh"/>
  </r>
  <r>
    <s v="YouTube"/>
    <s v="2024-06-26"/>
    <s v="Reel"/>
    <s v="Check out our latest reel on youtube!"/>
    <n v="3557"/>
    <n v="687"/>
    <n v="424"/>
    <n v="71140"/>
    <n v="4244.0059600787181"/>
    <n v="4668"/>
    <n v="70701"/>
    <n v="224"/>
    <s v="#ThirstyForMore"/>
    <s v="#PepsiCoRefresh"/>
    <m/>
    <x v="6"/>
    <s v="SummerSplash"/>
  </r>
  <r>
    <s v="Twitter"/>
    <s v="2025-04-28"/>
    <s v="Text"/>
    <s v="Check out our latest text on twitter!"/>
    <n v="3577"/>
    <n v="596"/>
    <n v="493"/>
    <n v="67963"/>
    <n v="4173.0072539470002"/>
    <n v="4666"/>
    <n v="67839"/>
    <n v="53"/>
    <s v="#PepsiCoRefresh"/>
    <m/>
    <m/>
    <x v="6"/>
    <s v="NewYearRefresh"/>
  </r>
  <r>
    <s v="Facebook"/>
    <s v="2024-10-24"/>
    <s v="Video"/>
    <s v="Check out our latest video on facebook!"/>
    <n v="3888"/>
    <n v="604"/>
    <n v="128"/>
    <n v="77760"/>
    <n v="4492.0016460905354"/>
    <n v="4620"/>
    <n v="77167"/>
    <n v="20"/>
    <s v="#LiveForNow"/>
    <m/>
    <m/>
    <x v="6"/>
    <s v="SummerSplash"/>
  </r>
  <r>
    <s v="Twitter"/>
    <s v="2024-08-03"/>
    <s v="Reel"/>
    <s v="Check out our latest reel on twitter!"/>
    <n v="3791"/>
    <n v="593"/>
    <n v="228"/>
    <n v="53074"/>
    <n v="4384.0042958887589"/>
    <n v="4612"/>
    <n v="52613"/>
    <n v="205"/>
    <s v="#ThirstyForMore"/>
    <m/>
    <m/>
    <x v="6"/>
    <m/>
  </r>
  <r>
    <s v="Instagram"/>
    <s v="2025-03-28"/>
    <s v="Carousel"/>
    <s v="Check out our latest carousel on instagram!"/>
    <n v="4158"/>
    <n v="167"/>
    <n v="241"/>
    <n v="45738"/>
    <n v="4325.0052691416331"/>
    <n v="4566"/>
    <n v="45183"/>
    <n v="142"/>
    <s v="#LiveForNow"/>
    <m/>
    <m/>
    <x v="6"/>
    <m/>
  </r>
  <r>
    <s v="Facebook"/>
    <s v="2025-01-27"/>
    <s v="Reel"/>
    <s v="Check out our latest reel on facebook!"/>
    <n v="3452"/>
    <n v="652"/>
    <n v="442"/>
    <n v="65588"/>
    <n v="4104.0067390376289"/>
    <n v="4546"/>
    <n v="65049"/>
    <n v="158"/>
    <s v="#LiveForNow"/>
    <m/>
    <m/>
    <x v="6"/>
    <s v="NewYearRefresh"/>
  </r>
  <r>
    <s v="Facebook"/>
    <s v="2025-04-03"/>
    <s v="Story"/>
    <s v="Check out our latest story on facebook!"/>
    <n v="3767"/>
    <n v="514"/>
    <n v="238"/>
    <n v="37670"/>
    <n v="4281.0063180249535"/>
    <n v="4519"/>
    <n v="36807"/>
    <n v="226"/>
    <s v="#LiveForNow"/>
    <m/>
    <m/>
    <x v="6"/>
    <s v="DailyWellness"/>
  </r>
  <r>
    <s v="Facebook"/>
    <s v="2024-12-22"/>
    <s v="Image"/>
    <s v="Check out our latest image on facebook!"/>
    <n v="3196"/>
    <n v="941"/>
    <n v="376"/>
    <n v="35156"/>
    <n v="4137.0106951871658"/>
    <n v="4513"/>
    <n v="34444"/>
    <n v="241"/>
    <s v="#PepsiCoRefresh"/>
    <m/>
    <m/>
    <x v="6"/>
    <s v="NewYearRefresh"/>
  </r>
  <r>
    <s v="YouTube"/>
    <s v="2025-03-23"/>
    <s v="Story"/>
    <s v="Check out our latest story on youtube!"/>
    <n v="3655"/>
    <n v="568"/>
    <n v="286"/>
    <n v="32895"/>
    <n v="4223.008694330445"/>
    <n v="4509"/>
    <n v="32015"/>
    <n v="199"/>
    <s v="#PepsiCoRefresh"/>
    <m/>
    <m/>
    <x v="6"/>
    <s v="NewYearRefresh"/>
  </r>
  <r>
    <s v="YouTube"/>
    <s v="2024-07-13"/>
    <s v="Image"/>
    <s v="Check out our latest image on youtube!"/>
    <n v="3929"/>
    <n v="262"/>
    <n v="278"/>
    <n v="43219"/>
    <n v="4191.0064323561401"/>
    <n v="4469"/>
    <n v="42841"/>
    <n v="39"/>
    <s v="#ThirstyForMore"/>
    <m/>
    <m/>
    <x v="6"/>
    <s v="DailyWellness"/>
  </r>
  <r>
    <s v="Instagram"/>
    <s v="2024-07-11"/>
    <s v="Text"/>
    <s v="Check out our latest text on instagram!"/>
    <n v="3134"/>
    <n v="888"/>
    <n v="444"/>
    <n v="21938"/>
    <n v="4022.0202388549551"/>
    <n v="4466"/>
    <n v="21337"/>
    <n v="130"/>
    <s v="#ThirstyForMore"/>
    <m/>
    <m/>
    <x v="6"/>
    <s v="DailyWellness"/>
  </r>
  <r>
    <s v="Instagram"/>
    <s v="2024-10-17"/>
    <s v="Video"/>
    <s v="Check out our latest video on instagram!"/>
    <n v="3575"/>
    <n v="749"/>
    <n v="111"/>
    <n v="21450"/>
    <n v="4324.0051748251744"/>
    <n v="4435"/>
    <n v="20785"/>
    <n v="195"/>
    <s v="#ThirstyForMore"/>
    <m/>
    <m/>
    <x v="6"/>
    <s v="FestiveRadiance"/>
  </r>
  <r>
    <s v="Instagram"/>
    <s v="2024-10-02"/>
    <s v="Text"/>
    <s v="Check out our latest text on instagram!"/>
    <n v="3432"/>
    <n v="869"/>
    <n v="123"/>
    <n v="54912"/>
    <n v="4301.0022399475529"/>
    <n v="4424"/>
    <n v="53916"/>
    <n v="264"/>
    <s v="#ThirstyForMore"/>
    <m/>
    <m/>
    <x v="6"/>
    <s v="FestiveRadiance"/>
  </r>
  <r>
    <s v="Facebook"/>
    <s v="2025-04-07"/>
    <s v="Reel"/>
    <s v="Check out our latest reel on facebook!"/>
    <n v="3718"/>
    <n v="385"/>
    <n v="310"/>
    <n v="70642"/>
    <n v="4103.0043883242261"/>
    <n v="4413"/>
    <n v="69749"/>
    <n v="233"/>
    <s v="#PepsiCoRefresh"/>
    <m/>
    <m/>
    <x v="6"/>
    <s v="FestiveRadiance"/>
  </r>
  <r>
    <s v="Twitter"/>
    <s v="2024-08-31"/>
    <s v="Image"/>
    <s v="Check out our latest image on twitter!"/>
    <n v="3170"/>
    <n v="857"/>
    <n v="379"/>
    <n v="19020"/>
    <n v="4027.0199263932705"/>
    <n v="4406"/>
    <n v="18559"/>
    <n v="240"/>
    <s v="#LiveForNow"/>
    <m/>
    <m/>
    <x v="6"/>
    <m/>
  </r>
  <r>
    <s v="Facebook"/>
    <s v="2025-03-24"/>
    <s v="Reel"/>
    <s v="Check out our latest reel on facebook!"/>
    <n v="3360"/>
    <n v="525"/>
    <n v="500"/>
    <n v="60480"/>
    <n v="3885.0082671957671"/>
    <n v="4385"/>
    <n v="59610"/>
    <n v="192"/>
    <s v="#PepsiCoRefresh"/>
    <m/>
    <m/>
    <x v="6"/>
    <s v="SummerSplash"/>
  </r>
  <r>
    <s v="Twitter"/>
    <s v="2024-07-28"/>
    <s v="Image"/>
    <s v="Check out our latest image on twitter!"/>
    <n v="3215"/>
    <n v="960"/>
    <n v="202"/>
    <n v="32150"/>
    <n v="4175.0062830482111"/>
    <n v="4377"/>
    <n v="31404"/>
    <n v="251"/>
    <s v="#ThirstyForMore"/>
    <m/>
    <m/>
    <x v="6"/>
    <s v="SummerSplash"/>
  </r>
  <r>
    <s v="Instagram"/>
    <s v="2024-08-05"/>
    <s v="Story"/>
    <s v="Check out our latest story on instagram!"/>
    <n v="3601"/>
    <n v="695"/>
    <n v="75"/>
    <n v="21606"/>
    <n v="4296.0034712579836"/>
    <n v="4371"/>
    <n v="21454"/>
    <n v="172"/>
    <s v="#ThirstyForMore"/>
    <m/>
    <m/>
    <x v="6"/>
    <s v="FestiveRadiance"/>
  </r>
  <r>
    <s v="Facebook"/>
    <s v="2024-11-25"/>
    <s v="Image"/>
    <s v="Check out our latest image on facebook!"/>
    <n v="3564"/>
    <n v="629"/>
    <n v="177"/>
    <n v="60588"/>
    <n v="4193.0029213705684"/>
    <n v="4370"/>
    <n v="59627"/>
    <n v="92"/>
    <s v="#PepsiCoRefresh"/>
    <m/>
    <m/>
    <x v="6"/>
    <m/>
  </r>
  <r>
    <s v="YouTube"/>
    <s v="2024-12-03"/>
    <s v="Text"/>
    <s v="Check out our latest text on youtube!"/>
    <n v="3711"/>
    <n v="352"/>
    <n v="290"/>
    <n v="48243"/>
    <n v="4063.0060112347905"/>
    <n v="4353"/>
    <n v="47579"/>
    <n v="11"/>
    <s v="#PepsiCoRefresh"/>
    <m/>
    <m/>
    <x v="6"/>
    <s v="SummerSplash"/>
  </r>
  <r>
    <s v="YouTube"/>
    <s v="2025-03-18"/>
    <s v="Reel"/>
    <s v="Check out our latest reel on youtube!"/>
    <n v="3704"/>
    <n v="186"/>
    <n v="458"/>
    <n v="25928"/>
    <n v="3890.0176643011418"/>
    <n v="4348"/>
    <n v="25081"/>
    <n v="131"/>
    <s v="#PepsiCoRefresh"/>
    <m/>
    <m/>
    <x v="6"/>
    <m/>
  </r>
  <r>
    <s v="Twitter"/>
    <s v="2024-06-24"/>
    <s v="Carousel"/>
    <s v="Check out our latest carousel on twitter!"/>
    <n v="3860"/>
    <n v="201"/>
    <n v="279"/>
    <n v="61760"/>
    <n v="4061.0045174870465"/>
    <n v="4340"/>
    <n v="61660"/>
    <n v="235"/>
    <s v="#PepsiCoRefresh"/>
    <m/>
    <m/>
    <x v="6"/>
    <s v="FestiveRadiance"/>
  </r>
  <r>
    <s v="Facebook"/>
    <s v="2025-01-06"/>
    <s v="Carousel"/>
    <s v="Check out our latest carousel on facebook!"/>
    <n v="3024"/>
    <n v="925"/>
    <n v="350"/>
    <n v="24192"/>
    <n v="3949.0144675925926"/>
    <n v="4299"/>
    <n v="23518"/>
    <n v="36"/>
    <s v="#ThirstyForMore"/>
    <m/>
    <m/>
    <x v="6"/>
    <s v="FestiveRadiance"/>
  </r>
  <r>
    <s v="Twitter"/>
    <s v="2024-10-04"/>
    <s v="Reel"/>
    <s v="Check out our latest reel on twitter!"/>
    <n v="4187"/>
    <n v="66"/>
    <n v="31"/>
    <n v="66992"/>
    <n v="4253.0004627418202"/>
    <n v="4284"/>
    <n v="66614"/>
    <n v="62"/>
    <s v="#LiveForNow"/>
    <m/>
    <m/>
    <x v="6"/>
    <m/>
  </r>
  <r>
    <s v="YouTube"/>
    <s v="2024-12-03"/>
    <s v="Video"/>
    <s v="Check out our latest video on youtube!"/>
    <n v="3809"/>
    <n v="273"/>
    <n v="200"/>
    <n v="34281"/>
    <n v="4082.005834135527"/>
    <n v="4282"/>
    <n v="33534"/>
    <n v="83"/>
    <s v="#ThirstyForMore"/>
    <m/>
    <m/>
    <x v="6"/>
    <s v="SummerSplash"/>
  </r>
  <r>
    <s v="Twitter"/>
    <s v="2024-08-08"/>
    <s v="Story"/>
    <s v="Check out our latest story on twitter!"/>
    <n v="3649"/>
    <n v="215"/>
    <n v="413"/>
    <n v="25543"/>
    <n v="3864.0161688133735"/>
    <n v="4277"/>
    <n v="24963"/>
    <n v="167"/>
    <s v="#LiveForNow"/>
    <m/>
    <m/>
    <x v="6"/>
    <s v="NewYearRefresh"/>
  </r>
  <r>
    <s v="Facebook"/>
    <s v="2024-08-27"/>
    <s v="Reel"/>
    <s v="Check out our latest reel on facebook!"/>
    <n v="3960"/>
    <n v="266"/>
    <n v="8"/>
    <n v="35640"/>
    <n v="4226.0002244668913"/>
    <n v="4234"/>
    <n v="34850"/>
    <n v="208"/>
    <s v="#LiveForNow"/>
    <s v="#ThirstyForMore"/>
    <s v="#BetterWithPepsi"/>
    <x v="6"/>
    <m/>
  </r>
  <r>
    <s v="Facebook"/>
    <s v="2024-10-31"/>
    <s v="Carousel"/>
    <s v="Check out our latest carousel on facebook!"/>
    <n v="2945"/>
    <n v="930"/>
    <n v="355"/>
    <n v="23560"/>
    <n v="3875.0150679117146"/>
    <n v="4230"/>
    <n v="23275"/>
    <n v="256"/>
    <s v="#PepsiCoRefresh"/>
    <m/>
    <m/>
    <x v="6"/>
    <s v="FestiveRadiance"/>
  </r>
  <r>
    <s v="Facebook"/>
    <s v="2024-06-22"/>
    <s v="Text"/>
    <s v="Check out our latest text on facebook!"/>
    <n v="3828"/>
    <n v="148"/>
    <n v="253"/>
    <n v="30624"/>
    <n v="3976.008261494253"/>
    <n v="4229"/>
    <n v="30229"/>
    <n v="235"/>
    <s v="#ThirstyForMore"/>
    <m/>
    <m/>
    <x v="6"/>
    <m/>
  </r>
  <r>
    <s v="Facebook"/>
    <s v="2024-08-26"/>
    <s v="Text"/>
    <s v="Check out our latest text on facebook!"/>
    <n v="3452"/>
    <n v="377"/>
    <n v="360"/>
    <n v="55232"/>
    <n v="3829.0065179606027"/>
    <n v="4189"/>
    <n v="55075"/>
    <n v="87"/>
    <s v="#LiveForNow"/>
    <m/>
    <m/>
    <x v="6"/>
    <s v="NewYearRefresh"/>
  </r>
  <r>
    <s v="Twitter"/>
    <s v="2025-01-01"/>
    <s v="Carousel"/>
    <s v="Check out our latest carousel on twitter!"/>
    <n v="3535"/>
    <n v="494"/>
    <n v="152"/>
    <n v="53025"/>
    <n v="4029.0028665723717"/>
    <n v="4181"/>
    <n v="52791"/>
    <n v="44"/>
    <s v="#PepsiCoRefresh"/>
    <m/>
    <m/>
    <x v="6"/>
    <s v="DailyWellness"/>
  </r>
  <r>
    <s v="Facebook"/>
    <s v="2025-04-01"/>
    <s v="Story"/>
    <s v="Check out our latest story on facebook!"/>
    <n v="3430"/>
    <n v="566"/>
    <n v="164"/>
    <n v="48020"/>
    <n v="3996.0034152436483"/>
    <n v="4160"/>
    <n v="47305"/>
    <n v="120"/>
    <s v="#LiveForNow"/>
    <m/>
    <m/>
    <x v="6"/>
    <m/>
  </r>
  <r>
    <s v="Instagram"/>
    <s v="2024-11-21"/>
    <s v="Carousel"/>
    <s v="Check out our latest carousel on instagram!"/>
    <n v="3773"/>
    <n v="299"/>
    <n v="38"/>
    <n v="71687"/>
    <n v="4072.0005300821626"/>
    <n v="4110"/>
    <n v="71447"/>
    <n v="286"/>
    <s v="#LiveForNow"/>
    <m/>
    <m/>
    <x v="6"/>
    <s v="SummerSplash"/>
  </r>
  <r>
    <s v="Facebook"/>
    <s v="2024-06-20"/>
    <s v="Video"/>
    <s v="Check out our latest video on facebook!"/>
    <n v="3798"/>
    <n v="31"/>
    <n v="279"/>
    <n v="75960"/>
    <n v="3829.003672985782"/>
    <n v="4108"/>
    <n v="75813"/>
    <n v="266"/>
    <s v="#PepsiCoRefresh"/>
    <m/>
    <m/>
    <x v="6"/>
    <s v="SummerSplash"/>
  </r>
  <r>
    <s v="YouTube"/>
    <s v="2025-01-15"/>
    <s v="Reel"/>
    <s v="Check out our latest reel on youtube!"/>
    <n v="3774"/>
    <n v="239"/>
    <n v="39"/>
    <n v="60384"/>
    <n v="4013.0006458664548"/>
    <n v="4052"/>
    <n v="59490"/>
    <n v="241"/>
    <s v="#PepsiCoRefresh"/>
    <m/>
    <m/>
    <x v="6"/>
    <s v="NewYearRefresh"/>
  </r>
  <r>
    <s v="Facebook"/>
    <s v="2024-06-11"/>
    <s v="Image"/>
    <s v="Check out our latest image on facebook!"/>
    <n v="3689"/>
    <n v="48"/>
    <n v="306"/>
    <n v="40579"/>
    <n v="3737.0075408462503"/>
    <n v="4043"/>
    <n v="39588"/>
    <n v="212"/>
    <s v="#ThirstyForMore"/>
    <m/>
    <m/>
    <x v="6"/>
    <s v="FestiveRadiance"/>
  </r>
  <r>
    <s v="Instagram"/>
    <s v="2024-11-30"/>
    <s v="Video"/>
    <s v="Check out our latest video on instagram!"/>
    <n v="3775"/>
    <n v="16"/>
    <n v="239"/>
    <n v="33975"/>
    <n v="3791.0070345842532"/>
    <n v="4030"/>
    <n v="33310"/>
    <n v="271"/>
    <s v="#LiveForNow"/>
    <m/>
    <m/>
    <x v="6"/>
    <s v="FestiveRadiance"/>
  </r>
  <r>
    <s v="Twitter"/>
    <s v="2025-04-24"/>
    <s v="Reel"/>
    <s v="Check out our latest reel on twitter!"/>
    <n v="3731"/>
    <n v="115"/>
    <n v="135"/>
    <n v="55965"/>
    <n v="3846.0024122219243"/>
    <n v="3981"/>
    <n v="55436"/>
    <n v="103"/>
    <s v="#PepsiCoRefresh"/>
    <m/>
    <m/>
    <x v="6"/>
    <s v="SummerSplash"/>
  </r>
  <r>
    <s v="Instagram"/>
    <s v="2024-10-21"/>
    <s v="Reel"/>
    <s v="Check out our latest reel on instagram!"/>
    <n v="3256"/>
    <n v="459"/>
    <n v="266"/>
    <n v="26048"/>
    <n v="3715.0102119164621"/>
    <n v="3981"/>
    <n v="25529"/>
    <n v="143"/>
    <s v="#PepsiCoRefresh"/>
    <m/>
    <m/>
    <x v="6"/>
    <s v="FestiveRadiance"/>
  </r>
  <r>
    <s v="YouTube"/>
    <s v="2024-06-05"/>
    <s v="Reel"/>
    <s v="Check out our latest reel on youtube!"/>
    <n v="3065"/>
    <n v="772"/>
    <n v="142"/>
    <n v="18390"/>
    <n v="3837.0077215878196"/>
    <n v="3979"/>
    <n v="17875"/>
    <n v="200"/>
    <s v="#ThirstyForMore"/>
    <s v="#AnytimeIsPepsiTime"/>
    <m/>
    <x v="6"/>
    <m/>
  </r>
  <r>
    <s v="Facebook"/>
    <s v="2024-07-15"/>
    <s v="Reel"/>
    <s v="Check out our latest reel on facebook!"/>
    <n v="3663"/>
    <n v="17"/>
    <n v="295"/>
    <n v="51282"/>
    <n v="3680.0057525057523"/>
    <n v="3975"/>
    <n v="50567"/>
    <n v="84"/>
    <s v="#ThirstyForMore"/>
    <m/>
    <m/>
    <x v="6"/>
    <s v="NewYearRefresh"/>
  </r>
  <r>
    <s v="Instagram"/>
    <s v="2024-07-10"/>
    <s v="Carousel"/>
    <s v="Check out our latest carousel on instagram!"/>
    <n v="3099"/>
    <n v="694"/>
    <n v="171"/>
    <n v="43386"/>
    <n v="3793.0039413635736"/>
    <n v="3964"/>
    <n v="42921"/>
    <n v="52"/>
    <s v="#PepsiCoRefresh"/>
    <m/>
    <m/>
    <x v="6"/>
    <s v="NewYearRefresh"/>
  </r>
  <r>
    <s v="YouTube"/>
    <s v="2024-09-25"/>
    <s v="Video"/>
    <s v="Check out our latest video on youtube!"/>
    <n v="3389"/>
    <n v="344"/>
    <n v="229"/>
    <n v="20334"/>
    <n v="3733.0112619258384"/>
    <n v="3962"/>
    <n v="19443"/>
    <n v="228"/>
    <s v="#LiveForNow"/>
    <m/>
    <m/>
    <x v="6"/>
    <s v="NewYearRefresh"/>
  </r>
  <r>
    <s v="Facebook"/>
    <s v="2025-04-06"/>
    <s v="Image"/>
    <s v="Check out our latest image on facebook!"/>
    <n v="3090"/>
    <n v="697"/>
    <n v="164"/>
    <n v="49440"/>
    <n v="3787.0033171521036"/>
    <n v="3951"/>
    <n v="48524"/>
    <n v="25"/>
    <s v="#ThirstyForMore"/>
    <s v="#ThirstyForMore"/>
    <s v="#BetterWithPepsi"/>
    <x v="6"/>
    <s v="FestiveRadiance"/>
  </r>
  <r>
    <s v="YouTube"/>
    <s v="2024-10-12"/>
    <s v="Story"/>
    <s v="Check out our latest story on youtube!"/>
    <n v="3641"/>
    <n v="226"/>
    <n v="46"/>
    <n v="40051"/>
    <n v="3867.0011485356172"/>
    <n v="3913"/>
    <n v="39319"/>
    <n v="296"/>
    <s v="#ThirstyForMore"/>
    <m/>
    <m/>
    <x v="6"/>
    <s v="DailyWellness"/>
  </r>
  <r>
    <s v="Instagram"/>
    <s v="2024-07-26"/>
    <s v="Image"/>
    <s v="Check out our latest image on instagram!"/>
    <n v="3559"/>
    <n v="59"/>
    <n v="289"/>
    <n v="35590"/>
    <n v="3618.0081202584997"/>
    <n v="3907"/>
    <n v="35105"/>
    <n v="122"/>
    <s v="#ThirstyForMore"/>
    <m/>
    <m/>
    <x v="6"/>
    <s v="SummerSplash"/>
  </r>
  <r>
    <s v="Instagram"/>
    <s v="2024-11-08"/>
    <s v="Text"/>
    <s v="Check out our latest text on instagram!"/>
    <n v="3182"/>
    <n v="559"/>
    <n v="160"/>
    <n v="57276"/>
    <n v="3741.0027934911654"/>
    <n v="3901"/>
    <n v="56890"/>
    <n v="163"/>
    <s v="#LiveForNow"/>
    <m/>
    <m/>
    <x v="6"/>
    <s v="DailyWellness"/>
  </r>
  <r>
    <s v="YouTube"/>
    <s v="2024-06-24"/>
    <s v="Video"/>
    <s v="Check out our latest video on youtube!"/>
    <n v="2949"/>
    <n v="476"/>
    <n v="403"/>
    <n v="44235"/>
    <n v="3425.0091104329149"/>
    <n v="3828"/>
    <n v="43705"/>
    <n v="135"/>
    <s v="#PepsiCoRefresh"/>
    <m/>
    <m/>
    <x v="6"/>
    <s v="FestiveRadiance"/>
  </r>
  <r>
    <s v="YouTube"/>
    <s v="2025-01-27"/>
    <s v="Text"/>
    <s v="Check out our latest text on youtube!"/>
    <n v="3428"/>
    <n v="305"/>
    <n v="85"/>
    <n v="58276"/>
    <n v="3733.0014585764293"/>
    <n v="3818"/>
    <n v="58052"/>
    <n v="242"/>
    <s v="#ThirstyForMore"/>
    <s v="#BetterWithPepsi"/>
    <m/>
    <x v="6"/>
    <s v="DailyWellness"/>
  </r>
  <r>
    <s v="Facebook"/>
    <s v="2024-12-18"/>
    <s v="Carousel"/>
    <s v="Check out our latest carousel on facebook!"/>
    <n v="2946"/>
    <n v="498"/>
    <n v="367"/>
    <n v="29460"/>
    <n v="3444.0124575695859"/>
    <n v="3811"/>
    <n v="28527"/>
    <n v="60"/>
    <s v="#LiveForNow"/>
    <m/>
    <m/>
    <x v="6"/>
    <s v="NewYearRefresh"/>
  </r>
  <r>
    <s v="Facebook"/>
    <s v="2024-11-01"/>
    <s v="Video"/>
    <s v="Check out our latest video on facebook!"/>
    <n v="3371"/>
    <n v="106"/>
    <n v="327"/>
    <n v="50565"/>
    <n v="3477.0064669237613"/>
    <n v="3804"/>
    <n v="49816"/>
    <n v="176"/>
    <s v="#LiveForNow"/>
    <m/>
    <m/>
    <x v="6"/>
    <s v="SummerSplash"/>
  </r>
  <r>
    <s v="Facebook"/>
    <s v="2024-08-14"/>
    <s v="Carousel"/>
    <s v="Check out our latest carousel on facebook!"/>
    <n v="3073"/>
    <n v="553"/>
    <n v="174"/>
    <n v="52241"/>
    <n v="3626.0033307172525"/>
    <n v="3800"/>
    <n v="51605"/>
    <n v="246"/>
    <s v="#ThirstyForMore"/>
    <m/>
    <m/>
    <x v="6"/>
    <s v="NewYearRefresh"/>
  </r>
  <r>
    <s v="YouTube"/>
    <s v="2025-04-05"/>
    <s v="Reel"/>
    <s v="Check out our latest reel on youtube!"/>
    <n v="3009"/>
    <n v="413"/>
    <n v="358"/>
    <n v="42126"/>
    <n v="3422.0084983145803"/>
    <n v="3780"/>
    <n v="41309"/>
    <n v="211"/>
    <s v="#LiveForNow"/>
    <m/>
    <m/>
    <x v="6"/>
    <s v="FestiveRadiance"/>
  </r>
  <r>
    <s v="Facebook"/>
    <s v="2025-05-01"/>
    <s v="Carousel"/>
    <s v="Check out our latest carousel on facebook!"/>
    <n v="2696"/>
    <n v="628"/>
    <n v="443"/>
    <n v="45832"/>
    <n v="3324.0096657357303"/>
    <n v="3767"/>
    <n v="45632"/>
    <n v="248"/>
    <s v="#ThirstyForMore"/>
    <m/>
    <m/>
    <x v="6"/>
    <s v="DailyWellness"/>
  </r>
  <r>
    <s v="Twitter"/>
    <s v="2024-11-12"/>
    <s v="Image"/>
    <s v="Check out our latest image on twitter!"/>
    <n v="3338"/>
    <n v="277"/>
    <n v="118"/>
    <n v="60084"/>
    <n v="3615.0019639171828"/>
    <n v="3733"/>
    <n v="59842"/>
    <n v="252"/>
    <s v="#PepsiCoRefresh"/>
    <m/>
    <m/>
    <x v="6"/>
    <m/>
  </r>
  <r>
    <s v="Twitter"/>
    <s v="2025-05-09"/>
    <s v="Reel"/>
    <s v="Check out our latest reel on twitter!"/>
    <n v="3367"/>
    <n v="302"/>
    <n v="57"/>
    <n v="63973"/>
    <n v="3669.000891000891"/>
    <n v="3726"/>
    <n v="63789"/>
    <n v="157"/>
    <s v="#LiveForNow"/>
    <m/>
    <m/>
    <x v="6"/>
    <s v="FestiveRadiance"/>
  </r>
  <r>
    <s v="Instagram"/>
    <s v="2024-08-19"/>
    <s v="Reel"/>
    <s v="Check out our latest reel on instagram!"/>
    <n v="3000"/>
    <n v="382"/>
    <n v="325"/>
    <n v="36000"/>
    <n v="3382.0090277777776"/>
    <n v="3707"/>
    <n v="35819"/>
    <n v="19"/>
    <s v="#LiveForNow"/>
    <m/>
    <m/>
    <x v="6"/>
    <s v="SummerSplash"/>
  </r>
  <r>
    <s v="YouTube"/>
    <s v="2024-09-02"/>
    <s v="Carousel"/>
    <s v="Check out our latest carousel on youtube!"/>
    <n v="2551"/>
    <n v="915"/>
    <n v="205"/>
    <n v="30612"/>
    <n v="3466.0066967202406"/>
    <n v="3671"/>
    <n v="30360"/>
    <n v="227"/>
    <s v="#PepsiCoRefresh"/>
    <m/>
    <m/>
    <x v="6"/>
    <s v="FestiveRadiance"/>
  </r>
  <r>
    <s v="Twitter"/>
    <s v="2025-03-19"/>
    <s v="Video"/>
    <s v="Check out our latest video on twitter!"/>
    <n v="3160"/>
    <n v="204"/>
    <n v="297"/>
    <n v="44240"/>
    <n v="3364.0067133815551"/>
    <n v="3661"/>
    <n v="43666"/>
    <n v="49"/>
    <s v="#LiveForNow"/>
    <s v="#AnytimeIsPepsiTime"/>
    <m/>
    <x v="6"/>
    <s v="DailyWellness"/>
  </r>
  <r>
    <s v="Twitter"/>
    <s v="2024-10-21"/>
    <s v="Video"/>
    <s v="Check out our latest video on twitter!"/>
    <n v="2825"/>
    <n v="535"/>
    <n v="295"/>
    <n v="45200"/>
    <n v="3360.0065265486724"/>
    <n v="3655"/>
    <n v="44739"/>
    <n v="169"/>
    <s v="#PepsiCoRefresh"/>
    <m/>
    <m/>
    <x v="6"/>
    <s v="SummerSplash"/>
  </r>
  <r>
    <s v="Twitter"/>
    <s v="2025-02-24"/>
    <s v="Carousel"/>
    <s v="Check out our latest carousel on twitter!"/>
    <n v="2704"/>
    <n v="752"/>
    <n v="153"/>
    <n v="21632"/>
    <n v="3456.0070728550295"/>
    <n v="3609"/>
    <n v="20792"/>
    <n v="127"/>
    <s v="#LiveForNow"/>
    <m/>
    <m/>
    <x v="6"/>
    <m/>
  </r>
  <r>
    <s v="Facebook"/>
    <s v="2025-05-14"/>
    <s v="Text"/>
    <s v="Check out our latest text on facebook!"/>
    <n v="2634"/>
    <n v="726"/>
    <n v="241"/>
    <n v="28974"/>
    <n v="3360.0083178021673"/>
    <n v="3601"/>
    <n v="28102"/>
    <n v="277"/>
    <s v="#ThirstyForMore"/>
    <m/>
    <m/>
    <x v="6"/>
    <s v="SummerSplash"/>
  </r>
  <r>
    <s v="YouTube"/>
    <s v="2025-03-22"/>
    <s v="Image"/>
    <s v="Check out our latest image on youtube!"/>
    <n v="3166"/>
    <n v="90"/>
    <n v="341"/>
    <n v="56988"/>
    <n v="3256.0059837158701"/>
    <n v="3597"/>
    <n v="56125"/>
    <n v="135"/>
    <s v="#ThirstyForMore"/>
    <m/>
    <m/>
    <x v="6"/>
    <s v="FestiveRadiance"/>
  </r>
  <r>
    <s v="YouTube"/>
    <s v="2025-02-17"/>
    <s v="Reel"/>
    <s v="Check out our latest reel on youtube!"/>
    <n v="3138"/>
    <n v="123"/>
    <n v="291"/>
    <n v="28242"/>
    <n v="3261.0103038028469"/>
    <n v="3552"/>
    <n v="27550"/>
    <n v="87"/>
    <s v="#PepsiCoRefresh"/>
    <m/>
    <m/>
    <x v="6"/>
    <s v="DailyWellness"/>
  </r>
  <r>
    <s v="Facebook"/>
    <s v="2024-08-17"/>
    <s v="Image"/>
    <s v="Check out our latest image on facebook!"/>
    <n v="2878"/>
    <n v="248"/>
    <n v="416"/>
    <n v="43170"/>
    <n v="3126.0096363215198"/>
    <n v="3542"/>
    <n v="42667"/>
    <n v="75"/>
    <s v="#LiveForNow"/>
    <m/>
    <m/>
    <x v="6"/>
    <s v="NewYearRefresh"/>
  </r>
  <r>
    <s v="Twitter"/>
    <s v="2025-04-10"/>
    <s v="Carousel"/>
    <s v="Check out our latest carousel on twitter!"/>
    <n v="3128"/>
    <n v="211"/>
    <n v="197"/>
    <n v="59432"/>
    <n v="3339.0033147126128"/>
    <n v="3536"/>
    <n v="59182"/>
    <n v="238"/>
    <s v="#ThirstyForMore"/>
    <m/>
    <m/>
    <x v="6"/>
    <m/>
  </r>
  <r>
    <s v="Instagram"/>
    <s v="2024-10-09"/>
    <s v="Carousel"/>
    <s v="Check out our latest carousel on instagram!"/>
    <n v="3068"/>
    <n v="137"/>
    <n v="329"/>
    <n v="39884"/>
    <n v="3205.0082489218735"/>
    <n v="3534"/>
    <n v="39404"/>
    <n v="266"/>
    <s v="#ThirstyForMore"/>
    <m/>
    <m/>
    <x v="6"/>
    <s v="FestiveRadiance"/>
  </r>
  <r>
    <s v="Instagram"/>
    <s v="2024-08-20"/>
    <s v="Reel"/>
    <s v="Check out our latest reel on instagram!"/>
    <n v="2603"/>
    <n v="690"/>
    <n v="205"/>
    <n v="13015"/>
    <n v="3293.0157510564732"/>
    <n v="3498"/>
    <n v="12130"/>
    <n v="20"/>
    <s v="#LiveForNow"/>
    <m/>
    <m/>
    <x v="6"/>
    <s v="FestiveRadiance"/>
  </r>
  <r>
    <s v="Twitter"/>
    <s v="2024-12-11"/>
    <s v="Text"/>
    <s v="Check out our latest text on twitter!"/>
    <n v="3239"/>
    <n v="43"/>
    <n v="211"/>
    <n v="22673"/>
    <n v="3282.0093062232613"/>
    <n v="3493"/>
    <n v="22171"/>
    <n v="230"/>
    <s v="#PepsiCoRefresh"/>
    <m/>
    <m/>
    <x v="6"/>
    <s v="FestiveRadiance"/>
  </r>
  <r>
    <s v="Twitter"/>
    <s v="2025-01-10"/>
    <s v="Image"/>
    <s v="Check out our latest image on twitter!"/>
    <n v="3092"/>
    <n v="106"/>
    <n v="291"/>
    <n v="27828"/>
    <n v="3198.010457093575"/>
    <n v="3489"/>
    <n v="27217"/>
    <n v="102"/>
    <s v="#LiveForNow"/>
    <m/>
    <m/>
    <x v="6"/>
    <m/>
  </r>
  <r>
    <s v="Twitter"/>
    <s v="2025-03-02"/>
    <s v="Image"/>
    <s v="Check out our latest image on twitter!"/>
    <n v="2358"/>
    <n v="784"/>
    <n v="344"/>
    <n v="35370"/>
    <n v="3142.0097257562907"/>
    <n v="3486"/>
    <n v="34475"/>
    <n v="216"/>
    <s v="#PepsiCoRefresh"/>
    <m/>
    <m/>
    <x v="6"/>
    <m/>
  </r>
  <r>
    <s v="YouTube"/>
    <s v="2024-06-06"/>
    <s v="Reel"/>
    <s v="Check out our latest reel on youtube!"/>
    <n v="2728"/>
    <n v="533"/>
    <n v="215"/>
    <n v="40920"/>
    <n v="3261.0052541544478"/>
    <n v="3476"/>
    <n v="40816"/>
    <n v="137"/>
    <s v="#LiveForNow"/>
    <m/>
    <m/>
    <x v="6"/>
    <s v="FestiveRadiance"/>
  </r>
  <r>
    <s v="Twitter"/>
    <s v="2025-02-11"/>
    <s v="Video"/>
    <s v="Check out our latest video on twitter!"/>
    <n v="3440"/>
    <n v="13"/>
    <n v="20"/>
    <n v="58480"/>
    <n v="3453.0003419972641"/>
    <n v="3473"/>
    <n v="58146"/>
    <n v="210"/>
    <s v="#PepsiCoRefresh"/>
    <s v="#SmoothLikeNitroPepsi"/>
    <m/>
    <x v="6"/>
    <s v="DailyWellness"/>
  </r>
  <r>
    <s v="YouTube"/>
    <s v="2024-09-29"/>
    <s v="Reel"/>
    <s v="Check out our latest reel on youtube!"/>
    <n v="2936"/>
    <n v="439"/>
    <n v="44"/>
    <n v="38168"/>
    <n v="3375.0011527981555"/>
    <n v="3419"/>
    <n v="37571"/>
    <n v="22"/>
    <s v="#ThirstyForMore"/>
    <m/>
    <m/>
    <x v="6"/>
    <s v="DailyWellness"/>
  </r>
  <r>
    <s v="Instagram"/>
    <s v="2025-01-01"/>
    <s v="Carousel"/>
    <s v="Check out our latest carousel on instagram!"/>
    <n v="2234"/>
    <n v="653"/>
    <n v="432"/>
    <n v="11170"/>
    <n v="2887.0386750223815"/>
    <n v="3319"/>
    <n v="10569"/>
    <n v="198"/>
    <s v="#LiveForNow"/>
    <m/>
    <m/>
    <x v="6"/>
    <s v="NewYearRefresh"/>
  </r>
  <r>
    <s v="Facebook"/>
    <s v="2024-11-12"/>
    <s v="Text"/>
    <s v="Check out our latest text on facebook!"/>
    <n v="2418"/>
    <n v="754"/>
    <n v="54"/>
    <n v="43524"/>
    <n v="3172.001240694789"/>
    <n v="3226"/>
    <n v="42743"/>
    <n v="182"/>
    <s v="#ThirstyForMore"/>
    <m/>
    <m/>
    <x v="6"/>
    <s v="SummerSplash"/>
  </r>
  <r>
    <s v="Facebook"/>
    <s v="2024-08-26"/>
    <s v="Image"/>
    <s v="Check out our latest image on facebook!"/>
    <n v="2581"/>
    <n v="517"/>
    <n v="117"/>
    <n v="23229"/>
    <n v="3098.005036807439"/>
    <n v="3215"/>
    <n v="22331"/>
    <n v="70"/>
    <s v="#LiveForNow"/>
    <m/>
    <m/>
    <x v="6"/>
    <s v="NewYearRefresh"/>
  </r>
  <r>
    <s v="Facebook"/>
    <s v="2024-11-28"/>
    <s v="Carousel"/>
    <s v="Check out our latest carousel on facebook!"/>
    <n v="2751"/>
    <n v="33"/>
    <n v="430"/>
    <n v="44016"/>
    <n v="2784.0097691748456"/>
    <n v="3214"/>
    <n v="43415"/>
    <n v="129"/>
    <s v="#LiveForNow"/>
    <m/>
    <m/>
    <x v="6"/>
    <m/>
  </r>
  <r>
    <s v="Instagram"/>
    <s v="2025-02-25"/>
    <s v="Video"/>
    <s v="Check out our latest video on instagram!"/>
    <n v="3095"/>
    <n v="39"/>
    <n v="78"/>
    <n v="55710"/>
    <n v="3134.0014001077006"/>
    <n v="3212"/>
    <n v="54808"/>
    <n v="93"/>
    <s v="#ThirstyForMore"/>
    <m/>
    <m/>
    <x v="6"/>
    <m/>
  </r>
  <r>
    <s v="Facebook"/>
    <s v="2024-07-31"/>
    <s v="Video"/>
    <s v="Check out our latest video on facebook!"/>
    <n v="3008"/>
    <n v="94"/>
    <n v="37"/>
    <n v="15040"/>
    <n v="3102.0024601063828"/>
    <n v="3139"/>
    <n v="14639"/>
    <n v="277"/>
    <s v="#LiveForNow"/>
    <m/>
    <m/>
    <x v="6"/>
    <m/>
  </r>
  <r>
    <s v="Instagram"/>
    <s v="2025-02-07"/>
    <s v="Reel"/>
    <s v="Check out our latest reel on instagram!"/>
    <n v="1970"/>
    <n v="675"/>
    <n v="478"/>
    <n v="9850"/>
    <n v="2645.0485279187819"/>
    <n v="3123"/>
    <n v="8924"/>
    <n v="117"/>
    <s v="#LiveForNow"/>
    <m/>
    <m/>
    <x v="6"/>
    <m/>
  </r>
  <r>
    <s v="Instagram"/>
    <s v="2024-11-07"/>
    <s v="Image"/>
    <s v="Check out our latest image on instagram!"/>
    <n v="2647"/>
    <n v="304"/>
    <n v="170"/>
    <n v="18529"/>
    <n v="2951.009174807059"/>
    <n v="3121"/>
    <n v="17841"/>
    <n v="46"/>
    <s v="#LiveForNow"/>
    <m/>
    <m/>
    <x v="6"/>
    <s v="NewYearRefresh"/>
  </r>
  <r>
    <s v="YouTube"/>
    <s v="2024-10-29"/>
    <s v="Text"/>
    <s v="Check out our latest text on youtube!"/>
    <n v="2746"/>
    <n v="156"/>
    <n v="203"/>
    <n v="32952"/>
    <n v="2902.0061604758434"/>
    <n v="3105"/>
    <n v="32147"/>
    <n v="147"/>
    <s v="#ThirstyForMore"/>
    <m/>
    <m/>
    <x v="6"/>
    <s v="SummerSplash"/>
  </r>
  <r>
    <s v="Instagram"/>
    <s v="2024-06-13"/>
    <s v="Story"/>
    <s v="Check out our latest story on instagram!"/>
    <n v="2103"/>
    <n v="892"/>
    <n v="103"/>
    <n v="39957"/>
    <n v="2995.0025777711039"/>
    <n v="3098"/>
    <n v="39466"/>
    <n v="28"/>
    <s v="#LiveForNow"/>
    <m/>
    <m/>
    <x v="6"/>
    <m/>
  </r>
  <r>
    <s v="Twitter"/>
    <s v="2024-10-05"/>
    <s v="Story"/>
    <s v="Check out our latest story on twitter!"/>
    <n v="1957"/>
    <n v="877"/>
    <n v="238"/>
    <n v="17613"/>
    <n v="2834.0135127462668"/>
    <n v="3072"/>
    <n v="16865"/>
    <n v="297"/>
    <s v="#LiveForNow"/>
    <m/>
    <m/>
    <x v="6"/>
    <s v="NewYearRefresh"/>
  </r>
  <r>
    <s v="YouTube"/>
    <s v="2025-03-13"/>
    <s v="Carousel"/>
    <s v="Check out our latest carousel on youtube!"/>
    <n v="1686"/>
    <n v="904"/>
    <n v="472"/>
    <n v="18546"/>
    <n v="2590.0254502318558"/>
    <n v="3062"/>
    <n v="18171"/>
    <n v="52"/>
    <s v="#LiveForNow"/>
    <m/>
    <m/>
    <x v="6"/>
    <s v="FestiveRadiance"/>
  </r>
  <r>
    <s v="Facebook"/>
    <s v="2024-12-09"/>
    <s v="Image"/>
    <s v="Check out our latest image on facebook!"/>
    <n v="1841"/>
    <n v="851"/>
    <n v="342"/>
    <n v="34979"/>
    <n v="2692.0097772949484"/>
    <n v="3034"/>
    <n v="34154"/>
    <n v="255"/>
    <s v="#LiveForNow"/>
    <m/>
    <m/>
    <x v="6"/>
    <s v="DailyWellness"/>
  </r>
  <r>
    <s v="Instagram"/>
    <s v="2024-12-08"/>
    <s v="Story"/>
    <s v="Check out our latest story on instagram!"/>
    <n v="2610"/>
    <n v="126"/>
    <n v="288"/>
    <n v="15660"/>
    <n v="2736.0183908045979"/>
    <n v="3024"/>
    <n v="15145"/>
    <n v="73"/>
    <s v="#ThirstyForMore"/>
    <m/>
    <m/>
    <x v="6"/>
    <m/>
  </r>
  <r>
    <s v="YouTube"/>
    <s v="2024-11-23"/>
    <s v="Image"/>
    <s v="Check out our latest image on youtube!"/>
    <n v="2719"/>
    <n v="17"/>
    <n v="285"/>
    <n v="40785"/>
    <n v="2736.0069878631848"/>
    <n v="3021"/>
    <n v="40281"/>
    <n v="40"/>
    <s v="#PepsiCoRefresh"/>
    <m/>
    <m/>
    <x v="6"/>
    <s v="FestiveRadiance"/>
  </r>
  <r>
    <s v="Facebook"/>
    <s v="2024-07-21"/>
    <s v="Reel"/>
    <s v="Check out our latest reel on facebook!"/>
    <n v="1946"/>
    <n v="686"/>
    <n v="377"/>
    <n v="23352"/>
    <n v="2632.0161442274753"/>
    <n v="3009"/>
    <n v="22982"/>
    <n v="213"/>
    <s v="#LiveForNow"/>
    <m/>
    <m/>
    <x v="6"/>
    <s v="NewYearRefresh"/>
  </r>
  <r>
    <s v="Instagram"/>
    <s v="2024-12-20"/>
    <s v="Carousel"/>
    <s v="Check out our latest carousel on instagram!"/>
    <n v="2107"/>
    <n v="550"/>
    <n v="349"/>
    <n v="35819"/>
    <n v="2657.0097434322565"/>
    <n v="3006"/>
    <n v="35340"/>
    <n v="191"/>
    <s v="#ThirstyForMore"/>
    <m/>
    <m/>
    <x v="6"/>
    <s v="DailyWellness"/>
  </r>
  <r>
    <s v="YouTube"/>
    <s v="2024-11-30"/>
    <s v="Carousel"/>
    <s v="Check out our latest carousel on youtube!"/>
    <n v="2509"/>
    <n v="324"/>
    <n v="171"/>
    <n v="35126"/>
    <n v="2833.0048681888061"/>
    <n v="3004"/>
    <n v="34685"/>
    <n v="277"/>
    <s v="#PepsiCoRefresh"/>
    <m/>
    <m/>
    <x v="6"/>
    <s v="FestiveRadiance"/>
  </r>
  <r>
    <s v="Twitter"/>
    <s v="2024-06-10"/>
    <s v="Story"/>
    <s v="Check out our latest story on twitter!"/>
    <n v="2164"/>
    <n v="549"/>
    <n v="274"/>
    <n v="28132"/>
    <n v="2713.0097397980949"/>
    <n v="2987"/>
    <n v="27361"/>
    <n v="177"/>
    <s v="#PepsiCoRefresh"/>
    <m/>
    <m/>
    <x v="6"/>
    <s v="DailyWellness"/>
  </r>
  <r>
    <s v="YouTube"/>
    <s v="2024-07-03"/>
    <s v="Story"/>
    <s v="Check out our latest story on youtube!"/>
    <n v="2754"/>
    <n v="130"/>
    <n v="90"/>
    <n v="22032"/>
    <n v="2884.0040849673201"/>
    <n v="2974"/>
    <n v="21288"/>
    <n v="112"/>
    <s v="#PepsiCoRefresh"/>
    <m/>
    <m/>
    <x v="6"/>
    <s v="NewYearRefresh"/>
  </r>
  <r>
    <s v="Twitter"/>
    <s v="2024-07-21"/>
    <s v="Text"/>
    <s v="Check out our latest text on twitter!"/>
    <n v="2147"/>
    <n v="430"/>
    <n v="393"/>
    <n v="17176"/>
    <n v="2577.0228807638564"/>
    <n v="2970"/>
    <n v="16483"/>
    <n v="170"/>
    <s v="#PepsiCoRefresh"/>
    <m/>
    <m/>
    <x v="6"/>
    <m/>
  </r>
  <r>
    <s v="YouTube"/>
    <s v="2025-05-12"/>
    <s v="Reel"/>
    <s v="Check out our latest reel on youtube!"/>
    <n v="2795"/>
    <n v="105"/>
    <n v="49"/>
    <n v="53105"/>
    <n v="2900.0009227003106"/>
    <n v="2949"/>
    <n v="52307"/>
    <n v="204"/>
    <s v="#PepsiCoRefresh"/>
    <m/>
    <m/>
    <x v="6"/>
    <s v="NewYearRefresh"/>
  </r>
  <r>
    <s v="Facebook"/>
    <s v="2024-06-13"/>
    <s v="Carousel"/>
    <s v="Check out our latest carousel on facebook!"/>
    <n v="2200"/>
    <n v="504"/>
    <n v="239"/>
    <n v="37400"/>
    <n v="2704.0063903743317"/>
    <n v="2943"/>
    <n v="36938"/>
    <n v="225"/>
    <s v="#LiveForNow"/>
    <m/>
    <m/>
    <x v="6"/>
    <s v="FestiveRadiance"/>
  </r>
  <r>
    <s v="Facebook"/>
    <s v="2024-08-05"/>
    <s v="Reel"/>
    <s v="Check out our latest reel on facebook!"/>
    <n v="1741"/>
    <n v="831"/>
    <n v="345"/>
    <n v="17410"/>
    <n v="2572.0198161975877"/>
    <n v="2917"/>
    <n v="16844"/>
    <n v="58"/>
    <s v="#ThirstyForMore"/>
    <m/>
    <m/>
    <x v="6"/>
    <s v="NewYearRefresh"/>
  </r>
  <r>
    <s v="Instagram"/>
    <s v="2024-08-12"/>
    <s v="Story"/>
    <s v="Check out our latest story on instagram!"/>
    <n v="2404"/>
    <n v="363"/>
    <n v="138"/>
    <n v="19232"/>
    <n v="2767.0071755407653"/>
    <n v="2905"/>
    <n v="18636"/>
    <n v="128"/>
    <s v="#ThirstyForMore"/>
    <m/>
    <m/>
    <x v="6"/>
    <s v="DailyWellness"/>
  </r>
  <r>
    <s v="Instagram"/>
    <s v="2025-02-02"/>
    <s v="Story"/>
    <s v="Check out our latest story on instagram!"/>
    <n v="1792"/>
    <n v="614"/>
    <n v="497"/>
    <n v="25088"/>
    <n v="2406.0198102678573"/>
    <n v="2903"/>
    <n v="24675"/>
    <n v="65"/>
    <s v="#LiveForNow"/>
    <m/>
    <m/>
    <x v="6"/>
    <s v="DailyWellness"/>
  </r>
  <r>
    <s v="Instagram"/>
    <s v="2025-03-04"/>
    <s v="Story"/>
    <s v="Check out our latest story on instagram!"/>
    <n v="1947"/>
    <n v="842"/>
    <n v="101"/>
    <n v="21417"/>
    <n v="2789.0047158799084"/>
    <n v="2890"/>
    <n v="20967"/>
    <n v="186"/>
    <s v="#LiveForNow"/>
    <m/>
    <m/>
    <x v="6"/>
    <s v="FestiveRadiance"/>
  </r>
  <r>
    <s v="Twitter"/>
    <s v="2025-01-14"/>
    <s v="Image"/>
    <s v="Check out our latest image on twitter!"/>
    <n v="2692"/>
    <n v="115"/>
    <n v="64"/>
    <n v="21536"/>
    <n v="2807.0029717682019"/>
    <n v="2871"/>
    <n v="21120"/>
    <n v="224"/>
    <s v="#LiveForNow"/>
    <m/>
    <m/>
    <x v="6"/>
    <s v="FestiveRadiance"/>
  </r>
  <r>
    <s v="Facebook"/>
    <s v="2024-07-15"/>
    <s v="Image"/>
    <s v="Check out our latest image on facebook!"/>
    <n v="2291"/>
    <n v="78"/>
    <n v="485"/>
    <n v="18328"/>
    <n v="2369.0264622435616"/>
    <n v="2854"/>
    <n v="18101"/>
    <n v="10"/>
    <s v="#ThirstyForMore"/>
    <s v="#SmoothLikeNitroPepsi"/>
    <m/>
    <x v="6"/>
    <s v="FestiveRadiance"/>
  </r>
  <r>
    <s v="Instagram"/>
    <s v="2024-12-14"/>
    <s v="Carousel"/>
    <s v="Check out our latest carousel on instagram!"/>
    <n v="2174"/>
    <n v="658"/>
    <n v="15"/>
    <n v="13044"/>
    <n v="2832.0011499540019"/>
    <n v="2847"/>
    <n v="12206"/>
    <n v="137"/>
    <s v="#PepsiCoRefresh"/>
    <m/>
    <m/>
    <x v="6"/>
    <s v="NewYearRefresh"/>
  </r>
  <r>
    <s v="Twitter"/>
    <s v="2025-02-20"/>
    <s v="Carousel"/>
    <s v="Check out our latest carousel on twitter!"/>
    <n v="1877"/>
    <n v="745"/>
    <n v="225"/>
    <n v="11262"/>
    <n v="2622.0199786893982"/>
    <n v="2847"/>
    <n v="10967"/>
    <n v="41"/>
    <s v="#ThirstyForMore"/>
    <m/>
    <m/>
    <x v="6"/>
    <s v="DailyWellness"/>
  </r>
  <r>
    <s v="Twitter"/>
    <s v="2024-06-10"/>
    <s v="Story"/>
    <s v="Check out our latest story on twitter!"/>
    <n v="1575"/>
    <n v="771"/>
    <n v="486"/>
    <n v="25200"/>
    <n v="2346.0192857142856"/>
    <n v="2832"/>
    <n v="24826"/>
    <n v="17"/>
    <s v="#LiveForNow"/>
    <m/>
    <m/>
    <x v="6"/>
    <s v="DailyWellness"/>
  </r>
  <r>
    <s v="Instagram"/>
    <s v="2024-06-22"/>
    <s v="Text"/>
    <s v="Check out our latest text on instagram!"/>
    <n v="2180"/>
    <n v="263"/>
    <n v="387"/>
    <n v="30520"/>
    <n v="2443.0126802096984"/>
    <n v="2830"/>
    <n v="30059"/>
    <n v="174"/>
    <s v="#ThirstyForMore"/>
    <m/>
    <m/>
    <x v="6"/>
    <m/>
  </r>
  <r>
    <s v="Facebook"/>
    <s v="2024-10-08"/>
    <s v="Reel"/>
    <s v="Check out our latest reel on facebook!"/>
    <n v="1814"/>
    <n v="653"/>
    <n v="363"/>
    <n v="25396"/>
    <n v="2467.0142935895415"/>
    <n v="2830"/>
    <n v="25286"/>
    <n v="39"/>
    <s v="#LiveForNow"/>
    <s v="#SmoothLikeNitroPepsi"/>
    <m/>
    <x v="6"/>
    <s v="SummerSplash"/>
  </r>
  <r>
    <s v="Facebook"/>
    <s v="2024-06-11"/>
    <s v="Carousel"/>
    <s v="Check out our latest carousel on facebook!"/>
    <n v="1869"/>
    <n v="453"/>
    <n v="490"/>
    <n v="14952"/>
    <n v="2322.0327715355807"/>
    <n v="2812"/>
    <n v="14309"/>
    <n v="275"/>
    <s v="#PepsiCoRefresh"/>
    <m/>
    <m/>
    <x v="6"/>
    <s v="DailyWellness"/>
  </r>
  <r>
    <s v="Facebook"/>
    <s v="2025-03-08"/>
    <s v="Image"/>
    <s v="Check out our latest image on facebook!"/>
    <n v="2382"/>
    <n v="265"/>
    <n v="134"/>
    <n v="38112"/>
    <n v="2647.0035159529807"/>
    <n v="2781"/>
    <n v="37437"/>
    <n v="249"/>
    <s v="#LiveForNow"/>
    <m/>
    <m/>
    <x v="6"/>
    <s v="DailyWellness"/>
  </r>
  <r>
    <s v="Facebook"/>
    <s v="2024-11-25"/>
    <s v="Story"/>
    <s v="Check out our latest story on facebook!"/>
    <n v="2120"/>
    <n v="158"/>
    <n v="488"/>
    <n v="12720"/>
    <n v="2278.0383647798744"/>
    <n v="2766"/>
    <n v="12085"/>
    <n v="17"/>
    <s v="#LiveForNow"/>
    <m/>
    <m/>
    <x v="6"/>
    <s v="FestiveRadiance"/>
  </r>
  <r>
    <s v="YouTube"/>
    <s v="2025-03-25"/>
    <s v="Story"/>
    <s v="Check out our latest story on youtube!"/>
    <n v="2070"/>
    <n v="275"/>
    <n v="386"/>
    <n v="39330"/>
    <n v="2345.00981439105"/>
    <n v="2731"/>
    <n v="38627"/>
    <n v="114"/>
    <s v="#LiveForNow"/>
    <m/>
    <m/>
    <x v="6"/>
    <s v="DailyWellness"/>
  </r>
  <r>
    <s v="Twitter"/>
    <s v="2025-03-11"/>
    <s v="Story"/>
    <s v="Check out our latest story on twitter!"/>
    <n v="1950"/>
    <n v="295"/>
    <n v="478"/>
    <n v="37050"/>
    <n v="2245.0129014844806"/>
    <n v="2723"/>
    <n v="36272"/>
    <n v="119"/>
    <s v="#PepsiCoRefresh"/>
    <m/>
    <m/>
    <x v="6"/>
    <m/>
  </r>
  <r>
    <s v="Instagram"/>
    <s v="2025-01-31"/>
    <s v="Carousel"/>
    <s v="Check out our latest carousel on instagram!"/>
    <n v="2566"/>
    <n v="118"/>
    <n v="37"/>
    <n v="12830"/>
    <n v="2684.0028838659391"/>
    <n v="2721"/>
    <n v="12264"/>
    <n v="221"/>
    <s v="#LiveForNow"/>
    <m/>
    <m/>
    <x v="6"/>
    <s v="NewYearRefresh"/>
  </r>
  <r>
    <s v="Twitter"/>
    <s v="2024-06-06"/>
    <s v="Video"/>
    <s v="Check out our latest video on twitter!"/>
    <n v="1436"/>
    <n v="765"/>
    <n v="496"/>
    <n v="12924"/>
    <n v="2201.0383782110803"/>
    <n v="2697"/>
    <n v="12701"/>
    <n v="197"/>
    <s v="#LiveForNow"/>
    <m/>
    <m/>
    <x v="6"/>
    <s v="NewYearRefresh"/>
  </r>
  <r>
    <s v="YouTube"/>
    <s v="2025-03-05"/>
    <s v="Reel"/>
    <s v="Check out our latest reel on youtube!"/>
    <n v="1543"/>
    <n v="820"/>
    <n v="333"/>
    <n v="12344"/>
    <n v="2363.026976668827"/>
    <n v="2696"/>
    <n v="11496"/>
    <n v="241"/>
    <s v="#ThirstyForMore"/>
    <m/>
    <m/>
    <x v="6"/>
    <m/>
  </r>
  <r>
    <s v="Facebook"/>
    <s v="2025-02-06"/>
    <s v="Image"/>
    <s v="Check out our latest image on facebook!"/>
    <n v="2072"/>
    <n v="532"/>
    <n v="71"/>
    <n v="37296"/>
    <n v="2604.0019036894037"/>
    <n v="2675"/>
    <n v="36467"/>
    <n v="25"/>
    <s v="#PepsiCoRefresh"/>
    <m/>
    <m/>
    <x v="6"/>
    <s v="DailyWellness"/>
  </r>
  <r>
    <s v="Instagram"/>
    <s v="2024-08-01"/>
    <s v="Reel"/>
    <s v="Check out our latest reel on instagram!"/>
    <n v="1674"/>
    <n v="929"/>
    <n v="37"/>
    <n v="21762"/>
    <n v="2603.0017002113777"/>
    <n v="2640"/>
    <n v="20998"/>
    <n v="255"/>
    <s v="#PepsiCoRefresh"/>
    <m/>
    <m/>
    <x v="6"/>
    <s v="DailyWellness"/>
  </r>
  <r>
    <s v="Twitter"/>
    <s v="2024-12-24"/>
    <s v="Text"/>
    <s v="Check out our latest text on twitter!"/>
    <n v="2166"/>
    <n v="354"/>
    <n v="117"/>
    <n v="10830"/>
    <n v="2520.0108033240999"/>
    <n v="2637"/>
    <n v="10245"/>
    <n v="24"/>
    <s v="#ThirstyForMore"/>
    <m/>
    <m/>
    <x v="6"/>
    <s v="DailyWellness"/>
  </r>
  <r>
    <s v="Twitter"/>
    <s v="2025-05-11"/>
    <s v="Image"/>
    <s v="Check out our latest image on twitter!"/>
    <n v="2493"/>
    <n v="97"/>
    <n v="44"/>
    <n v="42381"/>
    <n v="2590.0010382010805"/>
    <n v="2634"/>
    <n v="41991"/>
    <n v="242"/>
    <s v="#PepsiCoRefresh"/>
    <s v="#AnytimeIsPepsiTime"/>
    <m/>
    <x v="6"/>
    <s v="DailyWellness"/>
  </r>
  <r>
    <s v="Facebook"/>
    <s v="2025-04-28"/>
    <s v="Carousel"/>
    <s v="Check out our latest carousel on facebook!"/>
    <n v="2089"/>
    <n v="476"/>
    <n v="69"/>
    <n v="16712"/>
    <n v="2565.0041287697463"/>
    <n v="2634"/>
    <n v="16309"/>
    <n v="64"/>
    <s v="#LiveForNow"/>
    <m/>
    <m/>
    <x v="6"/>
    <s v="NewYearRefresh"/>
  </r>
  <r>
    <s v="Twitter"/>
    <s v="2024-06-16"/>
    <s v="Video"/>
    <s v="Check out our latest video on twitter!"/>
    <n v="1702"/>
    <n v="750"/>
    <n v="179"/>
    <n v="34040"/>
    <n v="2452.0052585193889"/>
    <n v="2631"/>
    <n v="33174"/>
    <n v="76"/>
    <s v="#ThirstyForMore"/>
    <m/>
    <m/>
    <x v="6"/>
    <s v="SummerSplash"/>
  </r>
  <r>
    <s v="YouTube"/>
    <s v="2024-12-21"/>
    <s v="Image"/>
    <s v="Check out our latest image on youtube!"/>
    <n v="2283"/>
    <n v="210"/>
    <n v="130"/>
    <n v="22830"/>
    <n v="2493.0056942619362"/>
    <n v="2623"/>
    <n v="22617"/>
    <n v="143"/>
    <s v="#LiveForNow"/>
    <m/>
    <m/>
    <x v="6"/>
    <s v="FestiveRadiance"/>
  </r>
  <r>
    <s v="Twitter"/>
    <s v="2025-01-10"/>
    <s v="Image"/>
    <s v="Check out our latest image on twitter!"/>
    <n v="2214"/>
    <n v="249"/>
    <n v="152"/>
    <n v="15498"/>
    <n v="2463.0098077171247"/>
    <n v="2615"/>
    <n v="14800"/>
    <n v="180"/>
    <s v="#ThirstyForMore"/>
    <m/>
    <m/>
    <x v="6"/>
    <m/>
  </r>
  <r>
    <s v="Twitter"/>
    <s v="2024-07-31"/>
    <s v="Carousel"/>
    <s v="Check out our latest carousel on twitter!"/>
    <n v="2278"/>
    <n v="10"/>
    <n v="321"/>
    <n v="13668"/>
    <n v="2288.0234855136086"/>
    <n v="2609"/>
    <n v="12676"/>
    <n v="275"/>
    <s v="#ThirstyForMore"/>
    <m/>
    <m/>
    <x v="6"/>
    <s v="SummerSplash"/>
  </r>
  <r>
    <s v="Instagram"/>
    <s v="2024-08-11"/>
    <s v="Story"/>
    <s v="Check out our latest story on instagram!"/>
    <n v="1762"/>
    <n v="405"/>
    <n v="423"/>
    <n v="22906"/>
    <n v="2167.0184667772637"/>
    <n v="2590"/>
    <n v="21925"/>
    <n v="25"/>
    <s v="#PepsiCoRefresh"/>
    <m/>
    <m/>
    <x v="6"/>
    <s v="SummerSplash"/>
  </r>
  <r>
    <s v="Twitter"/>
    <s v="2025-05-06"/>
    <s v="Image"/>
    <s v="Check out our latest image on twitter!"/>
    <n v="1952"/>
    <n v="344"/>
    <n v="287"/>
    <n v="15616"/>
    <n v="2296.0183785860654"/>
    <n v="2583"/>
    <n v="15403"/>
    <n v="235"/>
    <s v="#LiveForNow"/>
    <s v="#PepsiCoRefresh"/>
    <s v="#AnytimeIsPepsiTime"/>
    <x v="6"/>
    <s v="FestiveRadiance"/>
  </r>
  <r>
    <s v="Instagram"/>
    <s v="2025-03-27"/>
    <s v="Carousel"/>
    <s v="Check out our latest carousel on instagram!"/>
    <n v="1377"/>
    <n v="796"/>
    <n v="387"/>
    <n v="22032"/>
    <n v="2173.017565359477"/>
    <n v="2560"/>
    <n v="21869"/>
    <n v="189"/>
    <s v="#LiveForNow"/>
    <m/>
    <m/>
    <x v="6"/>
    <m/>
  </r>
  <r>
    <s v="Instagram"/>
    <s v="2024-12-19"/>
    <s v="Text"/>
    <s v="Check out our latest text on instagram!"/>
    <n v="1813"/>
    <n v="623"/>
    <n v="72"/>
    <n v="19943"/>
    <n v="2436.0036102893246"/>
    <n v="2508"/>
    <n v="18959"/>
    <n v="85"/>
    <s v="#ThirstyForMore"/>
    <m/>
    <m/>
    <x v="6"/>
    <s v="NewYearRefresh"/>
  </r>
  <r>
    <s v="Instagram"/>
    <s v="2025-03-28"/>
    <s v="Story"/>
    <s v="Check out our latest story on instagram!"/>
    <n v="1881"/>
    <n v="501"/>
    <n v="99"/>
    <n v="20691"/>
    <n v="2382.0047846889952"/>
    <n v="2481"/>
    <n v="19987"/>
    <n v="289"/>
    <s v="#ThirstyForMore"/>
    <m/>
    <m/>
    <x v="6"/>
    <m/>
  </r>
  <r>
    <s v="Facebook"/>
    <s v="2024-11-06"/>
    <s v="Video"/>
    <s v="Check out our latest video on facebook!"/>
    <n v="1606"/>
    <n v="547"/>
    <n v="316"/>
    <n v="32120"/>
    <n v="2153.0098381070984"/>
    <n v="2469"/>
    <n v="31736"/>
    <n v="225"/>
    <s v="#PepsiCoRefresh"/>
    <s v="#AnytimeIsPepsiTime"/>
    <m/>
    <x v="6"/>
    <s v="FestiveRadiance"/>
  </r>
  <r>
    <s v="Twitter"/>
    <s v="2024-11-04"/>
    <s v="Image"/>
    <s v="Check out our latest image on twitter!"/>
    <n v="1606"/>
    <n v="451"/>
    <n v="405"/>
    <n v="20878"/>
    <n v="2057.0193984098096"/>
    <n v="2462"/>
    <n v="20190"/>
    <n v="219"/>
    <s v="#ThirstyForMore"/>
    <m/>
    <m/>
    <x v="6"/>
    <s v="DailyWellness"/>
  </r>
  <r>
    <s v="Facebook"/>
    <s v="2024-06-02"/>
    <s v="Image"/>
    <s v="Check out our latest image on facebook!"/>
    <n v="1871"/>
    <n v="252"/>
    <n v="335"/>
    <n v="29936"/>
    <n v="2123.0111905398185"/>
    <n v="2458"/>
    <n v="29576"/>
    <n v="288"/>
    <s v="#ThirstyForMore"/>
    <m/>
    <m/>
    <x v="6"/>
    <s v="NewYearRefresh"/>
  </r>
  <r>
    <s v="Twitter"/>
    <s v="2025-03-08"/>
    <s v="Text"/>
    <s v="Check out our latest text on twitter!"/>
    <n v="1292"/>
    <n v="626"/>
    <n v="496"/>
    <n v="25840"/>
    <n v="1918.0191950464396"/>
    <n v="2414"/>
    <n v="24916"/>
    <n v="149"/>
    <s v="#LiveForNow"/>
    <m/>
    <m/>
    <x v="6"/>
    <s v="NewYearRefresh"/>
  </r>
  <r>
    <s v="Instagram"/>
    <s v="2024-12-11"/>
    <s v="Video"/>
    <s v="Check out our latest video on instagram!"/>
    <n v="1431"/>
    <n v="951"/>
    <n v="26"/>
    <n v="8586"/>
    <n v="2382.0030281854183"/>
    <n v="2408"/>
    <n v="8396"/>
    <n v="150"/>
    <s v="#ThirstyForMore"/>
    <m/>
    <m/>
    <x v="6"/>
    <s v="NewYearRefresh"/>
  </r>
  <r>
    <s v="YouTube"/>
    <s v="2024-09-17"/>
    <s v="Text"/>
    <s v="Check out our latest text on youtube!"/>
    <n v="2076"/>
    <n v="195"/>
    <n v="104"/>
    <n v="33216"/>
    <n v="2271.0031310211948"/>
    <n v="2375"/>
    <n v="32244"/>
    <n v="51"/>
    <s v="#LiveForNow"/>
    <m/>
    <m/>
    <x v="6"/>
    <s v="DailyWellness"/>
  </r>
  <r>
    <s v="Twitter"/>
    <s v="2024-07-18"/>
    <s v="Carousel"/>
    <s v="Check out our latest carousel on twitter!"/>
    <n v="2120"/>
    <n v="38"/>
    <n v="212"/>
    <n v="12720"/>
    <n v="2158.0166666666669"/>
    <n v="2370"/>
    <n v="12564"/>
    <n v="21"/>
    <s v="#LiveForNow"/>
    <m/>
    <m/>
    <x v="6"/>
    <s v="DailyWellness"/>
  </r>
  <r>
    <s v="YouTube"/>
    <s v="2024-09-18"/>
    <s v="Carousel"/>
    <s v="Check out our latest carousel on youtube!"/>
    <n v="2143"/>
    <n v="12"/>
    <n v="204"/>
    <n v="40717"/>
    <n v="2155.005010192303"/>
    <n v="2359"/>
    <n v="40125"/>
    <n v="248"/>
    <s v="#ThirstyForMore"/>
    <m/>
    <m/>
    <x v="6"/>
    <s v="FestiveRadiance"/>
  </r>
  <r>
    <s v="Twitter"/>
    <s v="2024-12-22"/>
    <s v="Reel"/>
    <s v="Check out our latest reel on twitter!"/>
    <n v="1644"/>
    <n v="546"/>
    <n v="150"/>
    <n v="27948"/>
    <n v="2190.0053671103478"/>
    <n v="2340"/>
    <n v="27184"/>
    <n v="300"/>
    <s v="#ThirstyForMore"/>
    <m/>
    <m/>
    <x v="6"/>
    <s v="NewYearRefresh"/>
  </r>
  <r>
    <s v="Twitter"/>
    <s v="2024-12-05"/>
    <s v="Video"/>
    <s v="Check out our latest video on twitter!"/>
    <n v="1330"/>
    <n v="925"/>
    <n v="35"/>
    <n v="15960"/>
    <n v="2255.0021929824561"/>
    <n v="2290"/>
    <n v="15379"/>
    <n v="229"/>
    <s v="#LiveForNow"/>
    <m/>
    <m/>
    <x v="6"/>
    <s v="NewYearRefresh"/>
  </r>
  <r>
    <s v="YouTube"/>
    <s v="2025-02-10"/>
    <s v="Video"/>
    <s v="Check out our latest video on youtube!"/>
    <n v="1766"/>
    <n v="92"/>
    <n v="424"/>
    <n v="24724"/>
    <n v="1858.0171493285877"/>
    <n v="2282"/>
    <n v="24333"/>
    <n v="52"/>
    <s v="#ThirstyForMore"/>
    <m/>
    <m/>
    <x v="6"/>
    <m/>
  </r>
  <r>
    <s v="YouTube"/>
    <s v="2024-10-28"/>
    <s v="Reel"/>
    <s v="Check out our latest reel on youtube!"/>
    <n v="1855"/>
    <n v="200"/>
    <n v="174"/>
    <n v="16695"/>
    <n v="2055.0104222821205"/>
    <n v="2229"/>
    <n v="16330"/>
    <n v="123"/>
    <s v="#PepsiCoRefresh"/>
    <m/>
    <m/>
    <x v="6"/>
    <s v="NewYearRefresh"/>
  </r>
  <r>
    <s v="Instagram"/>
    <s v="2024-08-07"/>
    <s v="Carousel"/>
    <s v="Check out our latest carousel on instagram!"/>
    <n v="1741"/>
    <n v="164"/>
    <n v="318"/>
    <n v="8705"/>
    <n v="1905.0365307294658"/>
    <n v="2223"/>
    <n v="8272"/>
    <n v="121"/>
    <s v="#PepsiCoRefresh"/>
    <m/>
    <m/>
    <x v="6"/>
    <m/>
  </r>
  <r>
    <s v="Instagram"/>
    <s v="2024-10-09"/>
    <s v="Carousel"/>
    <s v="Check out our latest carousel on instagram!"/>
    <n v="985"/>
    <n v="932"/>
    <n v="287"/>
    <n v="6895"/>
    <n v="1917.0416243654822"/>
    <n v="2204"/>
    <n v="6757"/>
    <n v="64"/>
    <s v="#LiveForNow"/>
    <m/>
    <m/>
    <x v="6"/>
    <s v="DailyWellness"/>
  </r>
  <r>
    <s v="YouTube"/>
    <s v="2024-10-04"/>
    <s v="Text"/>
    <s v="Check out our latest text on youtube!"/>
    <n v="1963"/>
    <n v="213"/>
    <n v="19"/>
    <n v="39260"/>
    <n v="2176.000483953133"/>
    <n v="2195"/>
    <n v="38771"/>
    <n v="145"/>
    <s v="#LiveForNow"/>
    <m/>
    <m/>
    <x v="6"/>
    <m/>
  </r>
  <r>
    <s v="Facebook"/>
    <s v="2024-08-21"/>
    <s v="Image"/>
    <s v="Check out our latest image on facebook!"/>
    <n v="1407"/>
    <n v="400"/>
    <n v="351"/>
    <n v="16884"/>
    <n v="1807.02078891258"/>
    <n v="2158"/>
    <n v="15954"/>
    <n v="113"/>
    <s v="#PepsiCoRefresh"/>
    <m/>
    <m/>
    <x v="6"/>
    <s v="SummerSplash"/>
  </r>
  <r>
    <s v="Twitter"/>
    <s v="2024-09-18"/>
    <s v="Reel"/>
    <s v="Check out our latest reel on twitter!"/>
    <n v="1000"/>
    <n v="978"/>
    <n v="162"/>
    <n v="6000"/>
    <n v="1978.027"/>
    <n v="2140"/>
    <n v="5221"/>
    <n v="223"/>
    <s v="#ThirstyForMore"/>
    <m/>
    <m/>
    <x v="6"/>
    <s v="FestiveRadiance"/>
  </r>
  <r>
    <s v="Instagram"/>
    <s v="2024-08-12"/>
    <s v="Carousel"/>
    <s v="Check out our latest carousel on instagram!"/>
    <n v="1878"/>
    <n v="62"/>
    <n v="179"/>
    <n v="37560"/>
    <n v="1940.0047657082002"/>
    <n v="2119"/>
    <n v="36874"/>
    <n v="142"/>
    <s v="#PepsiCoRefresh"/>
    <m/>
    <m/>
    <x v="6"/>
    <s v="DailyWellness"/>
  </r>
  <r>
    <s v="Instagram"/>
    <s v="2024-08-15"/>
    <s v="Reel"/>
    <s v="Check out our latest reel on instagram!"/>
    <n v="1164"/>
    <n v="616"/>
    <n v="324"/>
    <n v="6984"/>
    <n v="1780.0463917525774"/>
    <n v="2104"/>
    <n v="6636"/>
    <n v="82"/>
    <s v="#ThirstyForMore"/>
    <m/>
    <m/>
    <x v="6"/>
    <s v="SummerSplash"/>
  </r>
  <r>
    <s v="Facebook"/>
    <s v="2025-03-26"/>
    <s v="Text"/>
    <s v="Check out our latest text on facebook!"/>
    <n v="1652"/>
    <n v="89"/>
    <n v="357"/>
    <n v="29736"/>
    <n v="1741.0120056497176"/>
    <n v="2098"/>
    <n v="28771"/>
    <n v="215"/>
    <s v="#PepsiCoRefresh"/>
    <m/>
    <m/>
    <x v="6"/>
    <s v="NewYearRefresh"/>
  </r>
  <r>
    <s v="Instagram"/>
    <s v="2024-10-03"/>
    <s v="Video"/>
    <s v="Check out our latest video on instagram!"/>
    <n v="1488"/>
    <n v="417"/>
    <n v="168"/>
    <n v="19344"/>
    <n v="1905.0086848635235"/>
    <n v="2073"/>
    <n v="18395"/>
    <n v="30"/>
    <s v="#LiveForNow"/>
    <m/>
    <m/>
    <x v="6"/>
    <s v="NewYearRefresh"/>
  </r>
  <r>
    <s v="Twitter"/>
    <s v="2024-09-10"/>
    <s v="Image"/>
    <s v="Check out our latest image on twitter!"/>
    <n v="1238"/>
    <n v="366"/>
    <n v="444"/>
    <n v="19808"/>
    <n v="1604.0224151857835"/>
    <n v="2048"/>
    <n v="19334"/>
    <n v="123"/>
    <s v="#LiveForNow"/>
    <m/>
    <m/>
    <x v="6"/>
    <m/>
  </r>
  <r>
    <s v="Instagram"/>
    <s v="2024-11-29"/>
    <s v="Video"/>
    <s v="Check out our latest video on instagram!"/>
    <n v="1176"/>
    <n v="464"/>
    <n v="394"/>
    <n v="14112"/>
    <n v="1640.0279195011337"/>
    <n v="2034"/>
    <n v="13588"/>
    <n v="272"/>
    <s v="#ThirstyForMore"/>
    <m/>
    <m/>
    <x v="6"/>
    <m/>
  </r>
  <r>
    <s v="Facebook"/>
    <s v="2025-02-27"/>
    <s v="Text"/>
    <s v="Check out our latest text on facebook!"/>
    <n v="1570"/>
    <n v="187"/>
    <n v="260"/>
    <n v="25120"/>
    <n v="1757.0103503184714"/>
    <n v="2017"/>
    <n v="24613"/>
    <n v="133"/>
    <s v="#PepsiCoRefresh"/>
    <m/>
    <m/>
    <x v="6"/>
    <s v="DailyWellness"/>
  </r>
  <r>
    <s v="Facebook"/>
    <s v="2025-03-24"/>
    <s v="Image"/>
    <s v="Check out our latest image on facebook!"/>
    <n v="1263"/>
    <n v="397"/>
    <n v="357"/>
    <n v="25260"/>
    <n v="1660.0141330166271"/>
    <n v="2017"/>
    <n v="24615"/>
    <n v="137"/>
    <s v="#ThirstyForMore"/>
    <m/>
    <m/>
    <x v="6"/>
    <s v="DailyWellness"/>
  </r>
  <r>
    <s v="Facebook"/>
    <s v="2024-10-21"/>
    <s v="Story"/>
    <s v="Check out our latest story on facebook!"/>
    <n v="780"/>
    <n v="928"/>
    <n v="301"/>
    <n v="8580"/>
    <n v="1708.0350815850816"/>
    <n v="2009"/>
    <n v="8081"/>
    <n v="91"/>
    <s v="#ThirstyForMore"/>
    <m/>
    <m/>
    <x v="6"/>
    <s v="NewYearRefresh"/>
  </r>
  <r>
    <s v="Twitter"/>
    <s v="2024-12-23"/>
    <s v="Reel"/>
    <s v="Check out our latest reel on twitter!"/>
    <n v="1461"/>
    <n v="184"/>
    <n v="344"/>
    <n v="21915"/>
    <n v="1645.0156970111796"/>
    <n v="1989"/>
    <n v="21675"/>
    <n v="15"/>
    <s v="#LiveForNow"/>
    <s v="#AnytimeIsPepsiTime"/>
    <m/>
    <x v="6"/>
    <s v="SummerSplash"/>
  </r>
  <r>
    <s v="Instagram"/>
    <s v="2025-01-28"/>
    <s v="Video"/>
    <s v="Check out our latest video on instagram!"/>
    <n v="904"/>
    <n v="973"/>
    <n v="63"/>
    <n v="11752"/>
    <n v="1877.0053607896527"/>
    <n v="1940"/>
    <n v="11580"/>
    <n v="84"/>
    <s v="#ThirstyForMore"/>
    <s v="#PepsiCoRefresh"/>
    <s v="#AnytimeIsPepsiTime"/>
    <x v="6"/>
    <s v="NewYearRefresh"/>
  </r>
  <r>
    <s v="Instagram"/>
    <s v="2024-10-19"/>
    <s v="Story"/>
    <s v="Check out our latest story on instagram!"/>
    <n v="1816"/>
    <n v="29"/>
    <n v="41"/>
    <n v="19976"/>
    <n v="1845.0020524629556"/>
    <n v="1886"/>
    <n v="19262"/>
    <n v="283"/>
    <s v="#PepsiCoRefresh"/>
    <m/>
    <m/>
    <x v="6"/>
    <s v="NewYearRefresh"/>
  </r>
  <r>
    <s v="Twitter"/>
    <s v="2024-06-07"/>
    <s v="Carousel"/>
    <s v="Check out our latest carousel on twitter!"/>
    <n v="1556"/>
    <n v="195"/>
    <n v="131"/>
    <n v="9336"/>
    <n v="1751.0140317052271"/>
    <n v="1882"/>
    <n v="8875"/>
    <n v="137"/>
    <s v="#PepsiCoRefresh"/>
    <m/>
    <m/>
    <x v="6"/>
    <s v="FestiveRadiance"/>
  </r>
  <r>
    <s v="Twitter"/>
    <s v="2024-09-14"/>
    <s v="Image"/>
    <s v="Check out our latest image on twitter!"/>
    <n v="1048"/>
    <n v="374"/>
    <n v="450"/>
    <n v="9432"/>
    <n v="1422.0477099236641"/>
    <n v="1872"/>
    <n v="8882"/>
    <n v="158"/>
    <s v="#PepsiCoRefresh"/>
    <m/>
    <m/>
    <x v="6"/>
    <s v="NewYearRefresh"/>
  </r>
  <r>
    <s v="YouTube"/>
    <s v="2025-03-21"/>
    <s v="Image"/>
    <s v="Check out our latest image on youtube!"/>
    <n v="606"/>
    <n v="789"/>
    <n v="470"/>
    <n v="7878"/>
    <n v="1395.0596598121351"/>
    <n v="1865"/>
    <n v="7389"/>
    <n v="239"/>
    <s v="#ThirstyForMore"/>
    <m/>
    <m/>
    <x v="6"/>
    <s v="NewYearRefresh"/>
  </r>
  <r>
    <s v="Instagram"/>
    <s v="2025-05-01"/>
    <s v="Text"/>
    <s v="Check out our latest text on instagram!"/>
    <n v="1430"/>
    <n v="376"/>
    <n v="33"/>
    <n v="21450"/>
    <n v="1806.0015384615385"/>
    <n v="1839"/>
    <n v="20509"/>
    <n v="251"/>
    <s v="#LiveForNow"/>
    <m/>
    <m/>
    <x v="6"/>
    <s v="SummerSplash"/>
  </r>
  <r>
    <s v="Facebook"/>
    <s v="2024-06-01"/>
    <s v="Text"/>
    <s v="Check out our latest text on facebook!"/>
    <n v="1272"/>
    <n v="465"/>
    <n v="99"/>
    <n v="24168"/>
    <n v="1737.00409632572"/>
    <n v="1836"/>
    <n v="23719"/>
    <n v="42"/>
    <s v="#PepsiCoRefresh"/>
    <m/>
    <m/>
    <x v="6"/>
    <m/>
  </r>
  <r>
    <s v="Twitter"/>
    <s v="2025-01-28"/>
    <s v="Reel"/>
    <s v="Check out our latest reel on twitter!"/>
    <n v="1188"/>
    <n v="470"/>
    <n v="174"/>
    <n v="7128"/>
    <n v="1658.0244107744109"/>
    <n v="1832"/>
    <n v="6145"/>
    <n v="270"/>
    <s v="#PepsiCoRefresh"/>
    <m/>
    <m/>
    <x v="6"/>
    <s v="DailyWellness"/>
  </r>
  <r>
    <s v="YouTube"/>
    <s v="2024-12-31"/>
    <s v="Video"/>
    <s v="Check out our latest video on youtube!"/>
    <n v="1018"/>
    <n v="447"/>
    <n v="332"/>
    <n v="18324"/>
    <n v="1465.0181183147783"/>
    <n v="1797"/>
    <n v="18164"/>
    <n v="38"/>
    <s v="#LiveForNow"/>
    <m/>
    <m/>
    <x v="6"/>
    <s v="FestiveRadiance"/>
  </r>
  <r>
    <s v="Facebook"/>
    <s v="2025-03-04"/>
    <s v="Story"/>
    <s v="Check out our latest story on facebook!"/>
    <n v="1249"/>
    <n v="116"/>
    <n v="420"/>
    <n v="8743"/>
    <n v="1365.0480384307446"/>
    <n v="1785"/>
    <n v="8538"/>
    <n v="63"/>
    <s v="#PepsiCoRefresh"/>
    <m/>
    <m/>
    <x v="6"/>
    <m/>
  </r>
  <r>
    <s v="Twitter"/>
    <s v="2024-08-24"/>
    <s v="Video"/>
    <s v="Check out our latest video on twitter!"/>
    <n v="1082"/>
    <n v="209"/>
    <n v="484"/>
    <n v="19476"/>
    <n v="1291.0248510987883"/>
    <n v="1775"/>
    <n v="18654"/>
    <n v="20"/>
    <s v="#PepsiCoRefresh"/>
    <m/>
    <m/>
    <x v="6"/>
    <m/>
  </r>
  <r>
    <s v="YouTube"/>
    <s v="2024-07-29"/>
    <s v="Story"/>
    <s v="Check out our latest story on youtube!"/>
    <n v="1509"/>
    <n v="88"/>
    <n v="163"/>
    <n v="30180"/>
    <n v="1597.0054009277667"/>
    <n v="1760"/>
    <n v="29689"/>
    <n v="119"/>
    <s v="#ThirstyForMore"/>
    <m/>
    <m/>
    <x v="6"/>
    <s v="FestiveRadiance"/>
  </r>
  <r>
    <s v="YouTube"/>
    <s v="2025-04-06"/>
    <s v="Carousel"/>
    <s v="Check out our latest carousel on youtube!"/>
    <n v="736"/>
    <n v="771"/>
    <n v="225"/>
    <n v="5152"/>
    <n v="1507.0436723602484"/>
    <n v="1732"/>
    <n v="4706"/>
    <n v="19"/>
    <s v="#ThirstyForMore"/>
    <m/>
    <m/>
    <x v="6"/>
    <s v="SummerSplash"/>
  </r>
  <r>
    <s v="Twitter"/>
    <s v="2025-02-16"/>
    <s v="Reel"/>
    <s v="Check out our latest reel on twitter!"/>
    <n v="1076"/>
    <n v="313"/>
    <n v="306"/>
    <n v="11836"/>
    <n v="1389.0258533288272"/>
    <n v="1695"/>
    <n v="11596"/>
    <n v="104"/>
    <s v="#LiveForNow"/>
    <m/>
    <m/>
    <x v="6"/>
    <s v="SummerSplash"/>
  </r>
  <r>
    <s v="YouTube"/>
    <s v="2024-11-18"/>
    <s v="Carousel"/>
    <s v="Check out our latest carousel on youtube!"/>
    <n v="1171"/>
    <n v="286"/>
    <n v="231"/>
    <n v="22249"/>
    <n v="1457.0103824891007"/>
    <n v="1688"/>
    <n v="21282"/>
    <n v="114"/>
    <s v="#ThirstyForMore"/>
    <m/>
    <m/>
    <x v="6"/>
    <s v="SummerSplash"/>
  </r>
  <r>
    <s v="Facebook"/>
    <s v="2025-01-03"/>
    <s v="Image"/>
    <s v="Check out our latest image on facebook!"/>
    <n v="947"/>
    <n v="338"/>
    <n v="350"/>
    <n v="10417"/>
    <n v="1285.0335989248345"/>
    <n v="1635"/>
    <n v="9730"/>
    <n v="34"/>
    <s v="#PepsiCoRefresh"/>
    <m/>
    <m/>
    <x v="6"/>
    <s v="DailyWellness"/>
  </r>
  <r>
    <s v="Facebook"/>
    <s v="2024-08-19"/>
    <s v="Text"/>
    <s v="Check out our latest text on facebook!"/>
    <n v="1257"/>
    <n v="19"/>
    <n v="351"/>
    <n v="12570"/>
    <n v="1276.0279236276849"/>
    <n v="1627"/>
    <n v="11660"/>
    <n v="194"/>
    <s v="#LiveForNow"/>
    <s v="#AnytimeIsPepsiTime"/>
    <s v="#ThirstyForMore"/>
    <x v="6"/>
    <s v="FestiveRadiance"/>
  </r>
  <r>
    <s v="Instagram"/>
    <s v="2024-08-15"/>
    <s v="Carousel"/>
    <s v="Check out our latest carousel on instagram!"/>
    <n v="914"/>
    <n v="464"/>
    <n v="246"/>
    <n v="11882"/>
    <n v="1378.020703585255"/>
    <n v="1624"/>
    <n v="11500"/>
    <n v="282"/>
    <s v="#LiveForNow"/>
    <s v="#PepsiCoRefresh"/>
    <s v="#AnytimeIsPepsiTime"/>
    <x v="6"/>
    <s v="DailyWellness"/>
  </r>
  <r>
    <s v="YouTube"/>
    <s v="2025-02-19"/>
    <s v="Image"/>
    <s v="Check out our latest image on youtube!"/>
    <n v="257"/>
    <n v="966"/>
    <n v="398"/>
    <n v="3341"/>
    <n v="1223.1191260101766"/>
    <n v="1621"/>
    <n v="2753"/>
    <n v="287"/>
    <s v="#LiveForNow"/>
    <m/>
    <m/>
    <x v="6"/>
    <s v="SummerSplash"/>
  </r>
  <r>
    <s v="Instagram"/>
    <s v="2024-06-23"/>
    <s v="Video"/>
    <s v="Check out our latest video on instagram!"/>
    <n v="1071"/>
    <n v="519"/>
    <n v="22"/>
    <n v="16065"/>
    <n v="1590.0013694366635"/>
    <n v="1612"/>
    <n v="15865"/>
    <n v="103"/>
    <s v="#PepsiCoRefresh"/>
    <m/>
    <m/>
    <x v="6"/>
    <s v="DailyWellness"/>
  </r>
  <r>
    <s v="Instagram"/>
    <s v="2024-07-29"/>
    <s v="Story"/>
    <s v="Check out our latest story on instagram!"/>
    <n v="498"/>
    <n v="701"/>
    <n v="412"/>
    <n v="4980"/>
    <n v="1199.0827309236947"/>
    <n v="1611"/>
    <n v="4185"/>
    <n v="185"/>
    <s v="#LiveForNow"/>
    <m/>
    <m/>
    <x v="6"/>
    <m/>
  </r>
  <r>
    <s v="YouTube"/>
    <s v="2024-10-15"/>
    <s v="Video"/>
    <s v="Check out our latest video on youtube!"/>
    <n v="1094"/>
    <n v="472"/>
    <n v="21"/>
    <n v="9846"/>
    <n v="1566.0021328458258"/>
    <n v="1587"/>
    <n v="9609"/>
    <n v="112"/>
    <s v="#ThirstyForMore"/>
    <m/>
    <m/>
    <x v="6"/>
    <m/>
  </r>
  <r>
    <s v="Instagram"/>
    <s v="2024-12-23"/>
    <s v="Image"/>
    <s v="Check out our latest image on instagram!"/>
    <n v="521"/>
    <n v="746"/>
    <n v="315"/>
    <n v="4168"/>
    <n v="1267.0755758157391"/>
    <n v="1582"/>
    <n v="3399"/>
    <n v="282"/>
    <s v="#LiveForNow"/>
    <m/>
    <m/>
    <x v="6"/>
    <s v="FestiveRadiance"/>
  </r>
  <r>
    <s v="Twitter"/>
    <s v="2024-06-17"/>
    <s v="Image"/>
    <s v="Check out our latest image on twitter!"/>
    <n v="954"/>
    <n v="324"/>
    <n v="288"/>
    <n v="19080"/>
    <n v="1278.0150943396227"/>
    <n v="1566"/>
    <n v="18859"/>
    <n v="21"/>
    <s v="#LiveForNow"/>
    <m/>
    <m/>
    <x v="6"/>
    <s v="DailyWellness"/>
  </r>
  <r>
    <s v="Facebook"/>
    <s v="2024-11-17"/>
    <s v="Text"/>
    <s v="Check out our latest text on facebook!"/>
    <n v="880"/>
    <n v="297"/>
    <n v="345"/>
    <n v="12320"/>
    <n v="1177.0280032467533"/>
    <n v="1522"/>
    <n v="11978"/>
    <n v="238"/>
    <s v="#PepsiCoRefresh"/>
    <s v="#AnytimeIsPepsiTime"/>
    <m/>
    <x v="6"/>
    <m/>
  </r>
  <r>
    <s v="Twitter"/>
    <s v="2024-06-24"/>
    <s v="Text"/>
    <s v="Check out our latest text on twitter!"/>
    <n v="941"/>
    <n v="121"/>
    <n v="458"/>
    <n v="14115"/>
    <n v="1062.0324477506199"/>
    <n v="1520"/>
    <n v="13838"/>
    <n v="87"/>
    <s v="#ThirstyForMore"/>
    <m/>
    <m/>
    <x v="6"/>
    <s v="SummerSplash"/>
  </r>
  <r>
    <s v="Facebook"/>
    <s v="2024-10-11"/>
    <s v="Image"/>
    <s v="Check out our latest image on facebook!"/>
    <n v="400"/>
    <n v="680"/>
    <n v="434"/>
    <n v="6400"/>
    <n v="1080.0678124999999"/>
    <n v="1514"/>
    <n v="5472"/>
    <n v="160"/>
    <s v="#LiveForNow"/>
    <m/>
    <m/>
    <x v="6"/>
    <s v="FestiveRadiance"/>
  </r>
  <r>
    <s v="Instagram"/>
    <s v="2025-03-08"/>
    <s v="Reel"/>
    <s v="Check out our latest reel on instagram!"/>
    <n v="456"/>
    <n v="629"/>
    <n v="428"/>
    <n v="8208"/>
    <n v="1085.0521442495126"/>
    <n v="1513"/>
    <n v="7377"/>
    <n v="205"/>
    <s v="#LiveForNow"/>
    <m/>
    <m/>
    <x v="6"/>
    <s v="DailyWellness"/>
  </r>
  <r>
    <s v="Twitter"/>
    <s v="2025-05-02"/>
    <s v="Video"/>
    <s v="Check out our latest video on twitter!"/>
    <n v="1108"/>
    <n v="177"/>
    <n v="212"/>
    <n v="8864"/>
    <n v="1285.023916967509"/>
    <n v="1497"/>
    <n v="8710"/>
    <n v="97"/>
    <s v="#PepsiCoRefresh"/>
    <m/>
    <m/>
    <x v="6"/>
    <s v="DailyWellness"/>
  </r>
  <r>
    <s v="YouTube"/>
    <s v="2025-02-24"/>
    <s v="Carousel"/>
    <s v="Check out our latest carousel on youtube!"/>
    <n v="804"/>
    <n v="639"/>
    <n v="43"/>
    <n v="4020"/>
    <n v="1443.010696517413"/>
    <n v="1486"/>
    <n v="3144"/>
    <n v="11"/>
    <s v="#ThirstyForMore"/>
    <s v="#BetterWithPepsi"/>
    <m/>
    <x v="6"/>
    <m/>
  </r>
  <r>
    <s v="YouTube"/>
    <s v="2025-01-18"/>
    <s v="Image"/>
    <s v="Check out our latest image on youtube!"/>
    <n v="1206"/>
    <n v="238"/>
    <n v="36"/>
    <n v="9648"/>
    <n v="1444.0037313432836"/>
    <n v="1480"/>
    <n v="9417"/>
    <n v="237"/>
    <s v="#PepsiCoRefresh"/>
    <m/>
    <m/>
    <x v="6"/>
    <m/>
  </r>
  <r>
    <s v="Twitter"/>
    <s v="2024-08-26"/>
    <s v="Carousel"/>
    <s v="Check out our latest carousel on twitter!"/>
    <n v="929"/>
    <n v="192"/>
    <n v="322"/>
    <n v="16722"/>
    <n v="1121.0192560698481"/>
    <n v="1443"/>
    <n v="15996"/>
    <n v="145"/>
    <s v="#ThirstyForMore"/>
    <s v="#PepsiCoRefresh"/>
    <s v="#AnytimeIsPepsiTime"/>
    <x v="6"/>
    <s v="NewYearRefresh"/>
  </r>
  <r>
    <s v="Facebook"/>
    <s v="2025-04-02"/>
    <s v="Video"/>
    <s v="Check out our latest video on facebook!"/>
    <n v="199"/>
    <n v="772"/>
    <n v="400"/>
    <n v="3582"/>
    <n v="971.11166945840307"/>
    <n v="1371"/>
    <n v="2988"/>
    <n v="43"/>
    <s v="#PepsiCoRefresh"/>
    <m/>
    <m/>
    <x v="6"/>
    <m/>
  </r>
  <r>
    <s v="Facebook"/>
    <s v="2024-06-17"/>
    <s v="Image"/>
    <s v="Check out our latest image on facebook!"/>
    <n v="1226"/>
    <n v="119"/>
    <n v="7"/>
    <n v="14712"/>
    <n v="1345.0004758020664"/>
    <n v="1352"/>
    <n v="14049"/>
    <n v="123"/>
    <s v="#ThirstyForMore"/>
    <m/>
    <m/>
    <x v="6"/>
    <s v="DailyWellness"/>
  </r>
  <r>
    <s v="Facebook"/>
    <s v="2025-05-13"/>
    <s v="Image"/>
    <s v="Check out our latest image on facebook!"/>
    <n v="602"/>
    <n v="594"/>
    <n v="156"/>
    <n v="4214"/>
    <n v="1196.0370194589464"/>
    <n v="1352"/>
    <n v="3363"/>
    <n v="164"/>
    <s v="#PepsiCoRefresh"/>
    <m/>
    <m/>
    <x v="6"/>
    <s v="NewYearRefresh"/>
  </r>
  <r>
    <s v="Instagram"/>
    <s v="2024-12-17"/>
    <s v="Story"/>
    <s v="Check out our latest story on instagram!"/>
    <n v="360"/>
    <n v="590"/>
    <n v="393"/>
    <n v="4680"/>
    <n v="950.08397435897439"/>
    <n v="1343"/>
    <n v="4322"/>
    <n v="208"/>
    <s v="#LiveForNow"/>
    <m/>
    <m/>
    <x v="6"/>
    <s v="FestiveRadiance"/>
  </r>
  <r>
    <s v="Twitter"/>
    <s v="2025-01-15"/>
    <s v="Reel"/>
    <s v="Check out our latest reel on twitter!"/>
    <n v="802"/>
    <n v="262"/>
    <n v="244"/>
    <n v="14436"/>
    <n v="1064.0169021889719"/>
    <n v="1308"/>
    <n v="14280"/>
    <n v="49"/>
    <s v="#ThirstyForMore"/>
    <m/>
    <m/>
    <x v="6"/>
    <s v="SummerSplash"/>
  </r>
  <r>
    <s v="Twitter"/>
    <s v="2024-07-18"/>
    <s v="Image"/>
    <s v="Check out our latest image on twitter!"/>
    <n v="827"/>
    <n v="77"/>
    <n v="402"/>
    <n v="14886"/>
    <n v="904.02700523982264"/>
    <n v="1306"/>
    <n v="14129"/>
    <n v="254"/>
    <s v="#ThirstyForMore"/>
    <m/>
    <m/>
    <x v="6"/>
    <s v="FestiveRadiance"/>
  </r>
  <r>
    <s v="Twitter"/>
    <s v="2024-11-07"/>
    <s v="Story"/>
    <s v="Check out our latest story on twitter!"/>
    <n v="1121"/>
    <n v="135"/>
    <n v="18"/>
    <n v="15694"/>
    <n v="1256.0011469351346"/>
    <n v="1274"/>
    <n v="14957"/>
    <n v="99"/>
    <s v="#PepsiCoRefresh"/>
    <m/>
    <m/>
    <x v="6"/>
    <s v="DailyWellness"/>
  </r>
  <r>
    <s v="Instagram"/>
    <s v="2024-07-24"/>
    <s v="Image"/>
    <s v="Check out our latest image on instagram!"/>
    <n v="725"/>
    <n v="88"/>
    <n v="428"/>
    <n v="14500"/>
    <n v="813.02951724137927"/>
    <n v="1241"/>
    <n v="13637"/>
    <n v="200"/>
    <s v="#LiveForNow"/>
    <s v="#PepsiCoRefresh"/>
    <s v="#AnytimeIsPepsiTime"/>
    <x v="6"/>
    <s v="NewYearRefresh"/>
  </r>
  <r>
    <s v="Twitter"/>
    <s v="2025-01-01"/>
    <s v="Video"/>
    <s v="Check out our latest video on twitter!"/>
    <n v="754"/>
    <n v="197"/>
    <n v="257"/>
    <n v="6786"/>
    <n v="951.03787208959625"/>
    <n v="1208"/>
    <n v="6221"/>
    <n v="212"/>
    <s v="#PepsiCoRefresh"/>
    <m/>
    <m/>
    <x v="6"/>
    <s v="NewYearRefresh"/>
  </r>
  <r>
    <s v="Instagram"/>
    <s v="2025-03-04"/>
    <s v="Video"/>
    <s v="Check out our latest video on instagram!"/>
    <n v="432"/>
    <n v="624"/>
    <n v="123"/>
    <n v="6912"/>
    <n v="1056.0177951388889"/>
    <n v="1179"/>
    <n v="6259"/>
    <n v="79"/>
    <s v="#LiveForNow"/>
    <m/>
    <m/>
    <x v="6"/>
    <s v="DailyWellness"/>
  </r>
  <r>
    <s v="Facebook"/>
    <s v="2025-02-02"/>
    <s v="Story"/>
    <s v="Check out our latest story on facebook!"/>
    <n v="886"/>
    <n v="126"/>
    <n v="153"/>
    <n v="4430"/>
    <n v="1012.0345372460497"/>
    <n v="1165"/>
    <n v="4037"/>
    <n v="212"/>
    <s v="#ThirstyForMore"/>
    <m/>
    <m/>
    <x v="6"/>
    <m/>
  </r>
  <r>
    <s v="Twitter"/>
    <s v="2024-09-17"/>
    <s v="Text"/>
    <s v="Check out our latest text on twitter!"/>
    <n v="571"/>
    <n v="190"/>
    <n v="352"/>
    <n v="9707"/>
    <n v="761.03626249098591"/>
    <n v="1113"/>
    <n v="9418"/>
    <n v="231"/>
    <s v="#PepsiCoRefresh"/>
    <m/>
    <m/>
    <x v="6"/>
    <s v="DailyWellness"/>
  </r>
  <r>
    <s v="Instagram"/>
    <s v="2025-01-17"/>
    <s v="Reel"/>
    <s v="Check out our latest reel on instagram!"/>
    <n v="142"/>
    <n v="784"/>
    <n v="183"/>
    <n v="1704"/>
    <n v="926.10739436619713"/>
    <n v="1109"/>
    <n v="995"/>
    <n v="154"/>
    <s v="#LiveForNow"/>
    <m/>
    <m/>
    <x v="6"/>
    <s v="DailyWellness"/>
  </r>
  <r>
    <s v="Twitter"/>
    <s v="2025-04-29"/>
    <s v="Story"/>
    <s v="Check out our latest story on twitter!"/>
    <n v="249"/>
    <n v="592"/>
    <n v="230"/>
    <n v="1494"/>
    <n v="841.15394912985278"/>
    <n v="1071"/>
    <n v="1044"/>
    <n v="201"/>
    <s v="#ThirstyForMore"/>
    <m/>
    <m/>
    <x v="6"/>
    <s v="DailyWellness"/>
  </r>
  <r>
    <s v="Instagram"/>
    <s v="2024-06-02"/>
    <s v="Story"/>
    <s v="Check out our latest story on instagram!"/>
    <n v="84"/>
    <n v="897"/>
    <n v="85"/>
    <n v="588"/>
    <n v="981.14455782312928"/>
    <n v="1066"/>
    <n v="8"/>
    <n v="12"/>
    <s v="#ThirstyForMore"/>
    <m/>
    <m/>
    <x v="6"/>
    <m/>
  </r>
  <r>
    <s v="Instagram"/>
    <s v="2024-11-07"/>
    <s v="Video"/>
    <s v="Check out our latest video on instagram!"/>
    <n v="129"/>
    <n v="643"/>
    <n v="136"/>
    <n v="1290"/>
    <n v="772.10542635658919"/>
    <n v="908"/>
    <n v="839"/>
    <n v="238"/>
    <s v="#PepsiCoRefresh"/>
    <m/>
    <m/>
    <x v="6"/>
    <s v="DailyWellness"/>
  </r>
  <r>
    <s v="Instagram"/>
    <s v="2025-04-15"/>
    <s v="Reel"/>
    <s v="Check out our latest reel on instagram!"/>
    <n v="103"/>
    <n v="770"/>
    <n v="19"/>
    <n v="1030"/>
    <n v="873.01844660194172"/>
    <n v="892"/>
    <n v="410"/>
    <n v="262"/>
    <s v="#PepsiCoRefresh"/>
    <m/>
    <m/>
    <x v="6"/>
    <s v="DailyWellness"/>
  </r>
  <r>
    <s v="Twitter"/>
    <s v="2024-07-26"/>
    <s v="Carousel"/>
    <s v="Check out our latest carousel on twitter!"/>
    <n v="432"/>
    <n v="171"/>
    <n v="280"/>
    <n v="3024"/>
    <n v="603.09259259259261"/>
    <n v="883"/>
    <n v="2285"/>
    <n v="184"/>
    <s v="#ThirstyForMore"/>
    <m/>
    <m/>
    <x v="6"/>
    <s v="SummerSplash"/>
  </r>
  <r>
    <s v="Facebook"/>
    <s v="2025-02-10"/>
    <s v="Text"/>
    <s v="Check out our latest text on facebook!"/>
    <n v="562"/>
    <n v="158"/>
    <n v="149"/>
    <n v="3372"/>
    <n v="720.04418742586006"/>
    <n v="869"/>
    <n v="2940"/>
    <n v="93"/>
    <s v="#PepsiCoRefresh"/>
    <m/>
    <m/>
    <x v="6"/>
    <s v="SummerSplash"/>
  </r>
  <r>
    <s v="Instagram"/>
    <s v="2024-12-16"/>
    <s v="Text"/>
    <s v="Check out our latest text on instagram!"/>
    <n v="438"/>
    <n v="153"/>
    <n v="275"/>
    <n v="3066"/>
    <n v="591.08969341161117"/>
    <n v="866"/>
    <n v="2701"/>
    <n v="282"/>
    <s v="#PepsiCoRefresh"/>
    <m/>
    <m/>
    <x v="6"/>
    <s v="FestiveRadiance"/>
  </r>
  <r>
    <s v="Facebook"/>
    <s v="2024-07-07"/>
    <s v="Story"/>
    <s v="Check out our latest story on facebook!"/>
    <n v="302"/>
    <n v="47"/>
    <n v="430"/>
    <n v="5738"/>
    <n v="349.07493900313699"/>
    <n v="779"/>
    <n v="4890"/>
    <n v="25"/>
    <s v="#PepsiCoRefresh"/>
    <m/>
    <m/>
    <x v="6"/>
    <s v="DailyWellness"/>
  </r>
  <r>
    <s v="Twitter"/>
    <s v="2025-03-29"/>
    <s v="Image"/>
    <s v="Check out our latest image on twitter!"/>
    <n v="305"/>
    <n v="187"/>
    <n v="243"/>
    <n v="4575"/>
    <n v="492.05311475409837"/>
    <n v="735"/>
    <n v="3704"/>
    <n v="234"/>
    <s v="#LiveForNow"/>
    <m/>
    <m/>
    <x v="6"/>
    <s v="NewYearRefresh"/>
  </r>
  <r>
    <s v="Instagram"/>
    <s v="2024-06-14"/>
    <s v="Carousel"/>
    <s v="Check out our latest carousel on instagram!"/>
    <n v="498"/>
    <n v="38"/>
    <n v="42"/>
    <n v="4482"/>
    <n v="536.0093708165997"/>
    <n v="578"/>
    <n v="3647"/>
    <n v="32"/>
    <s v="#LiveForNow"/>
    <m/>
    <m/>
    <x v="6"/>
    <s v="SummerSplash"/>
  </r>
  <r>
    <s v="Instagram"/>
    <s v="2024-06-12"/>
    <s v="Text"/>
    <s v="Check out our latest text on instagram!"/>
    <n v="246"/>
    <n v="149"/>
    <n v="130"/>
    <n v="4674"/>
    <n v="395.02781343602908"/>
    <n v="525"/>
    <n v="4390"/>
    <n v="217"/>
    <s v="#LiveForNow"/>
    <m/>
    <m/>
    <x v="6"/>
    <s v="NewYearRefresh"/>
  </r>
  <r>
    <s v="YouTube"/>
    <s v="2024-10-02"/>
    <s v="Carousel"/>
    <s v="Check out our latest carousel on youtube!"/>
    <n v="80"/>
    <n v="362"/>
    <n v="80"/>
    <n v="1040"/>
    <n v="442.07692307692309"/>
    <n v="522"/>
    <n v="349"/>
    <n v="117"/>
    <s v="#PepsiCoRefresh"/>
    <m/>
    <m/>
    <x v="6"/>
    <s v="NewYearRefresh"/>
  </r>
  <r>
    <s v="Twitter"/>
    <s v="2024-11-22"/>
    <s v="Carousel"/>
    <s v="Check out our latest carousel on twitter!"/>
    <n v="53"/>
    <n v="81"/>
    <n v="379"/>
    <n v="954"/>
    <n v="134.39727463312369"/>
    <n v="513"/>
    <n v="7"/>
    <n v="148"/>
    <s v="#PepsiCoRefresh"/>
    <m/>
    <m/>
    <x v="6"/>
    <s v="NewYearRefresh"/>
  </r>
  <r>
    <s v="YouTube"/>
    <s v="2025-03-03"/>
    <s v="Reel"/>
    <s v="Check out our latest reel on youtube!"/>
    <n v="296"/>
    <n v="60"/>
    <n v="141"/>
    <n v="5624"/>
    <n v="356.02507112375531"/>
    <n v="497"/>
    <n v="5239"/>
    <n v="88"/>
    <s v="#ThirstyForMore"/>
    <m/>
    <m/>
    <x v="6"/>
    <s v="FestiveRadiance"/>
  </r>
  <r>
    <s v="Twitter"/>
    <s v="2025-01-30"/>
    <s v="Image"/>
    <s v="Check out our latest image on twitter!"/>
    <n v="59"/>
    <n v="163"/>
    <n v="93"/>
    <n v="590"/>
    <n v="222.15762711864406"/>
    <n v="315"/>
    <n v="475"/>
    <n v="293"/>
    <s v="#PepsiCoRefresh"/>
    <m/>
    <m/>
    <x v="6"/>
    <s v="FestiveRadianc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61"/>
    <x v="0"/>
    <s v="2024-09-05"/>
    <x v="0"/>
    <s v="Check out our latest video on twitter!"/>
    <n v="4886"/>
    <n v="983"/>
    <n v="409"/>
    <n v="43974"/>
    <n v="5869.0093009505617"/>
    <n v="6278"/>
    <n v="43239"/>
    <n v="65"/>
    <s v="#PepsiCoRefresh"/>
    <m/>
    <m/>
    <x v="0"/>
    <x v="0"/>
  </r>
  <r>
    <s v="P144"/>
    <x v="1"/>
    <s v="2024-10-28"/>
    <x v="1"/>
    <s v="Check out our latest story on youtube!"/>
    <n v="4929"/>
    <n v="749"/>
    <n v="452"/>
    <n v="93651"/>
    <n v="5678.0048264300431"/>
    <n v="6130"/>
    <n v="92810"/>
    <n v="66"/>
    <s v="#ThirstyForMore"/>
    <m/>
    <m/>
    <x v="1"/>
    <x v="1"/>
  </r>
  <r>
    <s v="P164"/>
    <x v="1"/>
    <s v="2025-02-27"/>
    <x v="2"/>
    <s v="Check out our latest text on youtube!"/>
    <n v="4934"/>
    <n v="971"/>
    <n v="156"/>
    <n v="39472"/>
    <n v="5905.0039521686258"/>
    <n v="6061"/>
    <n v="39025"/>
    <n v="169"/>
    <s v="#PepsiCoRefresh"/>
    <s v="#AnytimeIsPepsiTime"/>
    <m/>
    <x v="2"/>
    <x v="1"/>
  </r>
  <r>
    <s v="P261"/>
    <x v="2"/>
    <s v="2024-10-27"/>
    <x v="3"/>
    <s v="Check out our latest image on instagram!"/>
    <n v="4853"/>
    <n v="837"/>
    <n v="340"/>
    <n v="72795"/>
    <n v="5690.0046706504563"/>
    <n v="6030"/>
    <n v="72237"/>
    <n v="170"/>
    <s v="#ThirstyForMore"/>
    <m/>
    <m/>
    <x v="3"/>
    <x v="0"/>
  </r>
  <r>
    <s v="P244"/>
    <x v="1"/>
    <s v="2024-10-25"/>
    <x v="0"/>
    <s v="Check out our latest video on youtube!"/>
    <n v="4661"/>
    <n v="935"/>
    <n v="433"/>
    <n v="23305"/>
    <n v="5596.0185797039258"/>
    <n v="6029"/>
    <n v="22583"/>
    <n v="63"/>
    <s v="#LiveForNow"/>
    <m/>
    <m/>
    <x v="0"/>
    <x v="2"/>
  </r>
  <r>
    <s v="P215"/>
    <x v="3"/>
    <s v="2025-05-06"/>
    <x v="3"/>
    <s v="Check out our latest image on facebook!"/>
    <n v="4872"/>
    <n v="925"/>
    <n v="176"/>
    <n v="82824"/>
    <n v="5797.0021249879264"/>
    <n v="5973"/>
    <n v="82543"/>
    <n v="89"/>
    <s v="#ThirstyForMore"/>
    <m/>
    <m/>
    <x v="1"/>
    <x v="3"/>
  </r>
  <r>
    <s v="P106"/>
    <x v="2"/>
    <s v="2025-02-04"/>
    <x v="3"/>
    <s v="Check out our latest image on instagram!"/>
    <n v="4619"/>
    <n v="821"/>
    <n v="499"/>
    <n v="69285"/>
    <n v="5440.0072021361048"/>
    <n v="5939"/>
    <n v="69141"/>
    <n v="298"/>
    <s v="#PepsiCoRefresh"/>
    <m/>
    <m/>
    <x v="4"/>
    <x v="1"/>
  </r>
  <r>
    <s v="P161"/>
    <x v="0"/>
    <s v="2025-02-19"/>
    <x v="2"/>
    <s v="Check out our latest text on twitter!"/>
    <n v="4671"/>
    <n v="876"/>
    <n v="366"/>
    <n v="51381"/>
    <n v="5547.0071232556784"/>
    <n v="5913"/>
    <n v="50565"/>
    <n v="245"/>
    <s v="#PepsiCoRefresh"/>
    <m/>
    <m/>
    <x v="5"/>
    <x v="1"/>
  </r>
  <r>
    <s v="P228"/>
    <x v="2"/>
    <s v="2024-07-01"/>
    <x v="1"/>
    <s v="Check out our latest story on instagram!"/>
    <n v="4808"/>
    <n v="772"/>
    <n v="320"/>
    <n v="72120"/>
    <n v="5580.0044370493624"/>
    <n v="5900"/>
    <n v="71696"/>
    <n v="195"/>
    <s v="#ThirstyForMore"/>
    <m/>
    <m/>
    <x v="6"/>
    <x v="0"/>
  </r>
  <r>
    <s v="P279"/>
    <x v="1"/>
    <s v="2024-09-02"/>
    <x v="3"/>
    <s v="Check out our latest image on youtube!"/>
    <n v="4905"/>
    <n v="845"/>
    <n v="129"/>
    <n v="98100"/>
    <n v="5750.0013149847091"/>
    <n v="5879"/>
    <n v="97772"/>
    <n v="279"/>
    <s v="#PepsiCoRefresh"/>
    <m/>
    <m/>
    <x v="6"/>
    <x v="3"/>
  </r>
  <r>
    <s v="P288"/>
    <x v="1"/>
    <s v="2025-04-17"/>
    <x v="4"/>
    <s v="Check out our latest carousel on youtube!"/>
    <n v="4780"/>
    <n v="691"/>
    <n v="380"/>
    <n v="86040"/>
    <n v="5471.0044165504414"/>
    <n v="5851"/>
    <n v="85743"/>
    <n v="262"/>
    <s v="#LiveForNow"/>
    <m/>
    <m/>
    <x v="6"/>
    <x v="2"/>
  </r>
  <r>
    <s v="P229"/>
    <x v="2"/>
    <s v="2024-07-03"/>
    <x v="4"/>
    <s v="Check out our latest carousel on instagram!"/>
    <n v="4799"/>
    <n v="694"/>
    <n v="289"/>
    <n v="43191"/>
    <n v="5493.0066912088168"/>
    <n v="5782"/>
    <n v="42228"/>
    <n v="118"/>
    <s v="#PepsiCoRefresh"/>
    <m/>
    <m/>
    <x v="6"/>
    <x v="4"/>
  </r>
  <r>
    <s v="P217"/>
    <x v="3"/>
    <s v="2024-12-03"/>
    <x v="3"/>
    <s v="Check out our latest image on facebook!"/>
    <n v="4606"/>
    <n v="931"/>
    <n v="230"/>
    <n v="92120"/>
    <n v="5537.0024967433783"/>
    <n v="5767"/>
    <n v="91440"/>
    <n v="56"/>
    <s v="#PepsiCoRefresh"/>
    <m/>
    <m/>
    <x v="6"/>
    <x v="4"/>
  </r>
  <r>
    <s v="P107"/>
    <x v="1"/>
    <s v="2024-06-21"/>
    <x v="3"/>
    <s v="Check out our latest image on youtube!"/>
    <n v="4832"/>
    <n v="893"/>
    <n v="10"/>
    <n v="91808"/>
    <n v="5725.00010892297"/>
    <n v="5735"/>
    <n v="91296"/>
    <n v="182"/>
    <s v="#PepsiCoRefresh"/>
    <m/>
    <m/>
    <x v="6"/>
    <x v="4"/>
  </r>
  <r>
    <s v="P131"/>
    <x v="2"/>
    <s v="2024-10-21"/>
    <x v="5"/>
    <s v="Check out our latest reel on instagram!"/>
    <n v="4840"/>
    <n v="658"/>
    <n v="211"/>
    <n v="43560"/>
    <n v="5498.00484389348"/>
    <n v="5709"/>
    <n v="43225"/>
    <n v="57"/>
    <s v="#LiveForNow"/>
    <m/>
    <m/>
    <x v="6"/>
    <x v="2"/>
  </r>
  <r>
    <s v="P167"/>
    <x v="2"/>
    <s v="2024-11-28"/>
    <x v="2"/>
    <s v="Check out our latest text on instagram!"/>
    <n v="4771"/>
    <n v="818"/>
    <n v="56"/>
    <n v="57252"/>
    <n v="5589.0009781317685"/>
    <n v="5645"/>
    <n v="56378"/>
    <n v="150"/>
    <s v="#LiveForNow"/>
    <m/>
    <m/>
    <x v="6"/>
    <x v="4"/>
  </r>
  <r>
    <s v="P152"/>
    <x v="3"/>
    <s v="2025-04-22"/>
    <x v="3"/>
    <s v="Check out our latest image on facebook!"/>
    <n v="4804"/>
    <n v="550"/>
    <n v="270"/>
    <n v="28824"/>
    <n v="5354.0093671940049"/>
    <n v="5624"/>
    <n v="28370"/>
    <n v="47"/>
    <s v="#ThirstyForMore"/>
    <m/>
    <m/>
    <x v="6"/>
    <x v="1"/>
  </r>
  <r>
    <s v="P272"/>
    <x v="2"/>
    <s v="2025-03-27"/>
    <x v="2"/>
    <s v="Check out our latest text on instagram!"/>
    <n v="4941"/>
    <n v="414"/>
    <n v="266"/>
    <n v="39528"/>
    <n v="5355.0067294070022"/>
    <n v="5621"/>
    <n v="39154"/>
    <n v="217"/>
    <s v="#PepsiCoRefresh"/>
    <m/>
    <m/>
    <x v="6"/>
    <x v="2"/>
  </r>
  <r>
    <s v="P021"/>
    <x v="2"/>
    <s v="2025-01-04"/>
    <x v="5"/>
    <s v="Check out our latest reel on instagram!"/>
    <n v="4838"/>
    <n v="640"/>
    <n v="128"/>
    <n v="72570"/>
    <n v="5478.0017638142481"/>
    <n v="5606"/>
    <n v="72396"/>
    <n v="83"/>
    <s v="#LiveForNow"/>
    <m/>
    <m/>
    <x v="6"/>
    <x v="1"/>
  </r>
  <r>
    <s v="P197"/>
    <x v="0"/>
    <s v="2024-10-22"/>
    <x v="5"/>
    <s v="Check out our latest reel on twitter!"/>
    <n v="4782"/>
    <n v="721"/>
    <n v="82"/>
    <n v="86076"/>
    <n v="5503.0009526464983"/>
    <n v="5585"/>
    <n v="85339"/>
    <n v="19"/>
    <s v="#ThirstyForMore"/>
    <m/>
    <m/>
    <x v="6"/>
    <x v="0"/>
  </r>
  <r>
    <s v="P101"/>
    <x v="1"/>
    <s v="2024-10-18"/>
    <x v="0"/>
    <s v="Check out our latest video on youtube!"/>
    <n v="4450"/>
    <n v="983"/>
    <n v="143"/>
    <n v="75650"/>
    <n v="5433.0018902842039"/>
    <n v="5576"/>
    <n v="75008"/>
    <n v="12"/>
    <s v="#LiveForNow"/>
    <m/>
    <m/>
    <x v="6"/>
    <x v="2"/>
  </r>
  <r>
    <s v="P191"/>
    <x v="1"/>
    <s v="2024-12-03"/>
    <x v="1"/>
    <s v="Check out our latest story on youtube!"/>
    <n v="4285"/>
    <n v="886"/>
    <n v="376"/>
    <n v="55705"/>
    <n v="5171.0067498429225"/>
    <n v="5547"/>
    <n v="55556"/>
    <n v="51"/>
    <s v="#LiveForNow"/>
    <m/>
    <m/>
    <x v="6"/>
    <x v="2"/>
  </r>
  <r>
    <s v="P278"/>
    <x v="0"/>
    <s v="2024-11-26"/>
    <x v="2"/>
    <s v="Check out our latest text on twitter!"/>
    <n v="4516"/>
    <n v="836"/>
    <n v="169"/>
    <n v="49676"/>
    <n v="5352.0034020452531"/>
    <n v="5521"/>
    <n v="49257"/>
    <n v="282"/>
    <s v="#ThirstyForMore"/>
    <m/>
    <m/>
    <x v="6"/>
    <x v="1"/>
  </r>
  <r>
    <s v="P238"/>
    <x v="0"/>
    <s v="2024-07-16"/>
    <x v="2"/>
    <s v="Check out our latest text on twitter!"/>
    <n v="4725"/>
    <n v="400"/>
    <n v="362"/>
    <n v="75600"/>
    <n v="5125.0047883597881"/>
    <n v="5487"/>
    <n v="74927"/>
    <n v="43"/>
    <s v="#LiveForNow"/>
    <m/>
    <m/>
    <x v="6"/>
    <x v="1"/>
  </r>
  <r>
    <s v="P150"/>
    <x v="1"/>
    <s v="2024-08-22"/>
    <x v="4"/>
    <s v="Check out our latest carousel on youtube!"/>
    <n v="4295"/>
    <n v="853"/>
    <n v="325"/>
    <n v="85900"/>
    <n v="5148.0037834691502"/>
    <n v="5473"/>
    <n v="85788"/>
    <n v="290"/>
    <s v="#PepsiCoRefresh"/>
    <m/>
    <m/>
    <x v="6"/>
    <x v="1"/>
  </r>
  <r>
    <s v="P118"/>
    <x v="3"/>
    <s v="2024-11-04"/>
    <x v="3"/>
    <s v="Check out our latest image on facebook!"/>
    <n v="4551"/>
    <n v="714"/>
    <n v="207"/>
    <n v="68265"/>
    <n v="5265.0030323005931"/>
    <n v="5472"/>
    <n v="67754"/>
    <n v="57"/>
    <s v="#LiveForNow"/>
    <m/>
    <m/>
    <x v="6"/>
    <x v="2"/>
  </r>
  <r>
    <s v="P067"/>
    <x v="3"/>
    <s v="2025-03-29"/>
    <x v="4"/>
    <s v="Check out our latest carousel on facebook!"/>
    <n v="4712"/>
    <n v="568"/>
    <n v="127"/>
    <n v="84816"/>
    <n v="5280.0014973589887"/>
    <n v="5407"/>
    <n v="84691"/>
    <n v="100"/>
    <s v="#ThirstyForMore"/>
    <m/>
    <m/>
    <x v="6"/>
    <x v="2"/>
  </r>
  <r>
    <s v="P097"/>
    <x v="2"/>
    <s v="2024-08-13"/>
    <x v="3"/>
    <s v="Check out our latest image on instagram!"/>
    <n v="4739"/>
    <n v="527"/>
    <n v="135"/>
    <n v="61607"/>
    <n v="5266.0021913094288"/>
    <n v="5401"/>
    <n v="61333"/>
    <n v="36"/>
    <s v="#PepsiCoRefresh"/>
    <s v="#AnytimeIsPepsiTime"/>
    <m/>
    <x v="6"/>
    <x v="3"/>
  </r>
  <r>
    <s v="P241"/>
    <x v="3"/>
    <s v="2025-01-18"/>
    <x v="1"/>
    <s v="Check out our latest story on facebook!"/>
    <n v="4321"/>
    <n v="874"/>
    <n v="172"/>
    <n v="30247"/>
    <n v="5195.0056865143652"/>
    <n v="5367"/>
    <n v="29254"/>
    <n v="122"/>
    <s v="#PepsiCoRefresh"/>
    <m/>
    <m/>
    <x v="6"/>
    <x v="1"/>
  </r>
  <r>
    <s v="P280"/>
    <x v="1"/>
    <s v="2024-10-21"/>
    <x v="0"/>
    <s v="Check out our latest video on youtube!"/>
    <n v="4275"/>
    <n v="680"/>
    <n v="385"/>
    <n v="64125"/>
    <n v="4955.0060038986358"/>
    <n v="5340"/>
    <n v="63650"/>
    <n v="104"/>
    <s v="#ThirstyForMore"/>
    <s v="#PepsiCoRefresh"/>
    <s v="#AnytimeIsPepsiTime"/>
    <x v="6"/>
    <x v="1"/>
  </r>
  <r>
    <s v="P260"/>
    <x v="2"/>
    <s v="2025-02-12"/>
    <x v="1"/>
    <s v="Check out our latest story on instagram!"/>
    <n v="4332"/>
    <n v="771"/>
    <n v="219"/>
    <n v="60648"/>
    <n v="5103.003611001187"/>
    <n v="5322"/>
    <n v="60397"/>
    <n v="10"/>
    <s v="#PepsiCoRefresh"/>
    <s v="#ThirstyForMore"/>
    <s v="#BetterWithPepsi"/>
    <x v="6"/>
    <x v="2"/>
  </r>
  <r>
    <s v="P040"/>
    <x v="0"/>
    <s v="2025-03-07"/>
    <x v="3"/>
    <s v="Check out our latest image on twitter!"/>
    <n v="4750"/>
    <n v="151"/>
    <n v="415"/>
    <n v="38000"/>
    <n v="4901.0109210526316"/>
    <n v="5316"/>
    <n v="37792"/>
    <n v="299"/>
    <s v="#ThirstyForMore"/>
    <m/>
    <m/>
    <x v="6"/>
    <x v="1"/>
  </r>
  <r>
    <s v="P193"/>
    <x v="0"/>
    <s v="2024-09-11"/>
    <x v="3"/>
    <s v="Check out our latest image on twitter!"/>
    <n v="4858"/>
    <n v="317"/>
    <n v="129"/>
    <n v="53438"/>
    <n v="5175.0024140125006"/>
    <n v="5304"/>
    <n v="52687"/>
    <n v="223"/>
    <s v="#ThirstyForMore"/>
    <m/>
    <m/>
    <x v="6"/>
    <x v="2"/>
  </r>
  <r>
    <s v="P242"/>
    <x v="3"/>
    <s v="2024-07-07"/>
    <x v="5"/>
    <s v="Check out our latest reel on facebook!"/>
    <n v="4767"/>
    <n v="190"/>
    <n v="340"/>
    <n v="28602"/>
    <n v="4957.0118872806097"/>
    <n v="5297"/>
    <n v="28044"/>
    <n v="210"/>
    <s v="#ThirstyForMore"/>
    <m/>
    <m/>
    <x v="6"/>
    <x v="2"/>
  </r>
  <r>
    <s v="P108"/>
    <x v="0"/>
    <s v="2025-03-25"/>
    <x v="0"/>
    <s v="Check out our latest video on twitter!"/>
    <n v="4050"/>
    <n v="871"/>
    <n v="347"/>
    <n v="52650"/>
    <n v="4921.0065906932577"/>
    <n v="5268"/>
    <n v="51755"/>
    <n v="209"/>
    <s v="#PepsiCoRefresh"/>
    <m/>
    <m/>
    <x v="6"/>
    <x v="3"/>
  </r>
  <r>
    <s v="P300"/>
    <x v="0"/>
    <s v="2024-08-31"/>
    <x v="4"/>
    <s v="Check out our latest carousel on twitter!"/>
    <n v="4494"/>
    <n v="717"/>
    <n v="45"/>
    <n v="62916"/>
    <n v="5211.0007152393664"/>
    <n v="5256"/>
    <n v="62688"/>
    <n v="191"/>
    <s v="#PepsiCoRefresh"/>
    <s v="#ThirstyForMore"/>
    <s v="#BetterWithPepsi"/>
    <x v="6"/>
    <x v="0"/>
  </r>
  <r>
    <s v="P239"/>
    <x v="1"/>
    <s v="2025-02-24"/>
    <x v="2"/>
    <s v="Check out our latest text on youtube!"/>
    <n v="4188"/>
    <n v="942"/>
    <n v="118"/>
    <n v="20940"/>
    <n v="5130.0056351480416"/>
    <n v="5248"/>
    <n v="20471"/>
    <n v="102"/>
    <s v="#LiveForNow"/>
    <m/>
    <m/>
    <x v="6"/>
    <x v="4"/>
  </r>
  <r>
    <s v="P277"/>
    <x v="3"/>
    <s v="2025-04-06"/>
    <x v="3"/>
    <s v="Check out our latest image on facebook!"/>
    <n v="4236"/>
    <n v="711"/>
    <n v="298"/>
    <n v="21180"/>
    <n v="4947.0140698772429"/>
    <n v="5245"/>
    <n v="20516"/>
    <n v="238"/>
    <s v="#LiveForNow"/>
    <m/>
    <m/>
    <x v="6"/>
    <x v="0"/>
  </r>
  <r>
    <s v="P182"/>
    <x v="3"/>
    <s v="2024-07-31"/>
    <x v="3"/>
    <s v="Check out our latest image on facebook!"/>
    <n v="4689"/>
    <n v="134"/>
    <n v="403"/>
    <n v="51579"/>
    <n v="4823.0078132573335"/>
    <n v="5226"/>
    <n v="50924"/>
    <n v="173"/>
    <s v="#PepsiCoRefresh"/>
    <m/>
    <m/>
    <x v="6"/>
    <x v="1"/>
  </r>
  <r>
    <s v="P163"/>
    <x v="2"/>
    <s v="2025-04-08"/>
    <x v="3"/>
    <s v="Check out our latest image on instagram!"/>
    <n v="4501"/>
    <n v="375"/>
    <n v="323"/>
    <n v="22505"/>
    <n v="4876.0143523661409"/>
    <n v="5199"/>
    <n v="21836"/>
    <n v="132"/>
    <s v="#PepsiCoRefresh"/>
    <m/>
    <m/>
    <x v="6"/>
    <x v="3"/>
  </r>
  <r>
    <s v="P010"/>
    <x v="3"/>
    <s v="2025-03-11"/>
    <x v="3"/>
    <s v="Check out our latest image on facebook!"/>
    <n v="4241"/>
    <n v="902"/>
    <n v="47"/>
    <n v="72097"/>
    <n v="5143.0006518995242"/>
    <n v="5190"/>
    <n v="71598"/>
    <n v="167"/>
    <s v="#PepsiCoRefresh"/>
    <m/>
    <m/>
    <x v="6"/>
    <x v="3"/>
  </r>
  <r>
    <s v="P036"/>
    <x v="2"/>
    <s v="2025-04-19"/>
    <x v="1"/>
    <s v="Check out our latest story on instagram!"/>
    <n v="4518"/>
    <n v="285"/>
    <n v="383"/>
    <n v="67770"/>
    <n v="4803.005651468201"/>
    <n v="5186"/>
    <n v="67621"/>
    <n v="31"/>
    <s v="#ThirstyForMore"/>
    <m/>
    <m/>
    <x v="6"/>
    <x v="3"/>
  </r>
  <r>
    <s v="P294"/>
    <x v="3"/>
    <s v="2024-06-19"/>
    <x v="4"/>
    <s v="Check out our latest carousel on facebook!"/>
    <n v="4731"/>
    <n v="173"/>
    <n v="276"/>
    <n v="28386"/>
    <n v="4904.0097231029376"/>
    <n v="5180"/>
    <n v="28185"/>
    <n v="89"/>
    <s v="#ThirstyForMore"/>
    <m/>
    <m/>
    <x v="6"/>
    <x v="2"/>
  </r>
  <r>
    <s v="P114"/>
    <x v="0"/>
    <s v="2024-11-14"/>
    <x v="1"/>
    <s v="Check out our latest story on twitter!"/>
    <n v="4000"/>
    <n v="689"/>
    <n v="488"/>
    <n v="40000"/>
    <n v="4689.0122000000001"/>
    <n v="5177"/>
    <n v="39569"/>
    <n v="44"/>
    <s v="#LiveForNow"/>
    <m/>
    <m/>
    <x v="6"/>
    <x v="0"/>
  </r>
  <r>
    <s v="P092"/>
    <x v="0"/>
    <s v="2024-10-21"/>
    <x v="1"/>
    <s v="Check out our latest story on twitter!"/>
    <n v="3801"/>
    <n v="967"/>
    <n v="401"/>
    <n v="38010"/>
    <n v="4768.0105498553012"/>
    <n v="5169"/>
    <n v="37625"/>
    <n v="236"/>
    <s v="#LiveForNow"/>
    <m/>
    <m/>
    <x v="6"/>
    <x v="2"/>
  </r>
  <r>
    <s v="P157"/>
    <x v="1"/>
    <s v="2024-07-23"/>
    <x v="1"/>
    <s v="Check out our latest story on youtube!"/>
    <n v="4775"/>
    <n v="173"/>
    <n v="206"/>
    <n v="47750"/>
    <n v="4948.0043141361257"/>
    <n v="5154"/>
    <n v="47544"/>
    <n v="187"/>
    <s v="#LiveForNow"/>
    <m/>
    <m/>
    <x v="6"/>
    <x v="3"/>
  </r>
  <r>
    <s v="P123"/>
    <x v="2"/>
    <s v="2024-06-14"/>
    <x v="1"/>
    <s v="Check out our latest story on instagram!"/>
    <n v="4363"/>
    <n v="649"/>
    <n v="140"/>
    <n v="21815"/>
    <n v="5012.0064176025671"/>
    <n v="5152"/>
    <n v="21481"/>
    <n v="157"/>
    <s v="#ThirstyForMore"/>
    <m/>
    <m/>
    <x v="6"/>
    <x v="0"/>
  </r>
  <r>
    <s v="P194"/>
    <x v="1"/>
    <s v="2024-10-02"/>
    <x v="1"/>
    <s v="Check out our latest story on youtube!"/>
    <n v="4350"/>
    <n v="771"/>
    <n v="7"/>
    <n v="60900"/>
    <n v="5121.0001149425289"/>
    <n v="5128"/>
    <n v="60592"/>
    <n v="195"/>
    <s v="#ThirstyForMore"/>
    <m/>
    <m/>
    <x v="6"/>
    <x v="0"/>
  </r>
  <r>
    <s v="P266"/>
    <x v="3"/>
    <s v="2024-11-25"/>
    <x v="1"/>
    <s v="Check out our latest story on facebook!"/>
    <n v="4182"/>
    <n v="640"/>
    <n v="240"/>
    <n v="50184"/>
    <n v="4822.0047824007652"/>
    <n v="5062"/>
    <n v="49351"/>
    <n v="10"/>
    <s v="#PepsiCoRefresh"/>
    <m/>
    <m/>
    <x v="6"/>
    <x v="2"/>
  </r>
  <r>
    <s v="P245"/>
    <x v="3"/>
    <s v="2025-01-12"/>
    <x v="5"/>
    <s v="Check out our latest reel on facebook!"/>
    <n v="4134"/>
    <n v="824"/>
    <n v="99"/>
    <n v="41340"/>
    <n v="4958.002394775036"/>
    <n v="5057"/>
    <n v="41050"/>
    <n v="177"/>
    <s v="#ThirstyForMore"/>
    <m/>
    <m/>
    <x v="6"/>
    <x v="0"/>
  </r>
  <r>
    <s v="P269"/>
    <x v="2"/>
    <s v="2024-11-05"/>
    <x v="0"/>
    <s v="Check out our latest video on instagram!"/>
    <n v="4561"/>
    <n v="51"/>
    <n v="441"/>
    <n v="22805"/>
    <n v="4612.0193378645035"/>
    <n v="5053"/>
    <n v="21890"/>
    <n v="45"/>
    <s v="#PepsiCoRefresh"/>
    <m/>
    <m/>
    <x v="6"/>
    <x v="3"/>
  </r>
  <r>
    <s v="P298"/>
    <x v="3"/>
    <s v="2024-10-24"/>
    <x v="3"/>
    <s v="Check out our latest image on facebook!"/>
    <n v="4303"/>
    <n v="451"/>
    <n v="286"/>
    <n v="86060"/>
    <n v="4754.0033232628402"/>
    <n v="5040"/>
    <n v="85823"/>
    <n v="14"/>
    <s v="#PepsiCoRefresh"/>
    <m/>
    <m/>
    <x v="6"/>
    <x v="2"/>
  </r>
  <r>
    <s v="P073"/>
    <x v="3"/>
    <s v="2024-10-18"/>
    <x v="1"/>
    <s v="Check out our latest story on facebook!"/>
    <n v="4126"/>
    <n v="426"/>
    <n v="486"/>
    <n v="78394"/>
    <n v="4552.0061994540401"/>
    <n v="5038"/>
    <n v="77798"/>
    <n v="88"/>
    <s v="#LiveForNow"/>
    <m/>
    <m/>
    <x v="6"/>
    <x v="1"/>
  </r>
  <r>
    <s v="P291"/>
    <x v="3"/>
    <s v="2024-11-06"/>
    <x v="0"/>
    <s v="Check out our latest video on facebook!"/>
    <n v="4663"/>
    <n v="145"/>
    <n v="225"/>
    <n v="69945"/>
    <n v="4808.0032168132102"/>
    <n v="5033"/>
    <n v="69596"/>
    <n v="35"/>
    <s v="#ThirstyForMore"/>
    <m/>
    <m/>
    <x v="6"/>
    <x v="1"/>
  </r>
  <r>
    <s v="P225"/>
    <x v="0"/>
    <s v="2024-06-20"/>
    <x v="4"/>
    <s v="Check out our latest carousel on twitter!"/>
    <n v="4672"/>
    <n v="325"/>
    <n v="32"/>
    <n v="88768"/>
    <n v="4997.0003604902668"/>
    <n v="5029"/>
    <n v="87833"/>
    <n v="118"/>
    <s v="#ThirstyForMore"/>
    <m/>
    <m/>
    <x v="6"/>
    <x v="4"/>
  </r>
  <r>
    <s v="P113"/>
    <x v="0"/>
    <s v="2024-10-02"/>
    <x v="4"/>
    <s v="Check out our latest carousel on twitter!"/>
    <n v="4419"/>
    <n v="236"/>
    <n v="369"/>
    <n v="44190"/>
    <n v="4655.0083503054993"/>
    <n v="5024"/>
    <n v="43582"/>
    <n v="10"/>
    <s v="#ThirstyForMore"/>
    <m/>
    <m/>
    <x v="6"/>
    <x v="0"/>
  </r>
  <r>
    <s v="P017"/>
    <x v="3"/>
    <s v="2025-05-05"/>
    <x v="2"/>
    <s v="Check out our latest text on facebook!"/>
    <n v="4441"/>
    <n v="511"/>
    <n v="70"/>
    <n v="53292"/>
    <n v="4952.0013135179761"/>
    <n v="5022"/>
    <n v="53082"/>
    <n v="159"/>
    <s v="#ThirstyForMore"/>
    <m/>
    <m/>
    <x v="6"/>
    <x v="1"/>
  </r>
  <r>
    <s v="P250"/>
    <x v="3"/>
    <s v="2024-06-22"/>
    <x v="5"/>
    <s v="Check out our latest reel on facebook!"/>
    <n v="3813"/>
    <n v="935"/>
    <n v="274"/>
    <n v="68634"/>
    <n v="4748.0039921904599"/>
    <n v="5022"/>
    <n v="68488"/>
    <n v="251"/>
    <s v="#LiveForNow"/>
    <m/>
    <m/>
    <x v="6"/>
    <x v="4"/>
  </r>
  <r>
    <s v="P268"/>
    <x v="2"/>
    <s v="2025-04-13"/>
    <x v="5"/>
    <s v="Check out our latest reel on instagram!"/>
    <n v="4579"/>
    <n v="125"/>
    <n v="300"/>
    <n v="59527"/>
    <n v="4704.0050397298701"/>
    <n v="5004"/>
    <n v="59400"/>
    <n v="269"/>
    <s v="#ThirstyForMore"/>
    <m/>
    <m/>
    <x v="6"/>
    <x v="0"/>
  </r>
  <r>
    <s v="P009"/>
    <x v="3"/>
    <s v="2024-08-30"/>
    <x v="2"/>
    <s v="Check out our latest text on facebook!"/>
    <n v="3784"/>
    <n v="808"/>
    <n v="404"/>
    <n v="56760"/>
    <n v="4592.0071176885131"/>
    <n v="4996"/>
    <n v="56343"/>
    <n v="131"/>
    <s v="#PepsiCoRefresh"/>
    <m/>
    <m/>
    <x v="6"/>
    <x v="3"/>
  </r>
  <r>
    <s v="P221"/>
    <x v="3"/>
    <s v="2025-03-23"/>
    <x v="0"/>
    <s v="Check out our latest video on facebook!"/>
    <n v="4453"/>
    <n v="111"/>
    <n v="420"/>
    <n v="31171"/>
    <n v="4564.0134740624299"/>
    <n v="4984"/>
    <n v="30565"/>
    <n v="23"/>
    <s v="#PepsiCoRefresh"/>
    <m/>
    <m/>
    <x v="6"/>
    <x v="4"/>
  </r>
  <r>
    <s v="P002"/>
    <x v="0"/>
    <s v="2025-04-03"/>
    <x v="2"/>
    <s v="Check out our latest text on twitter!"/>
    <n v="4054"/>
    <n v="389"/>
    <n v="493"/>
    <n v="64864"/>
    <n v="4443.0076005180072"/>
    <n v="4936"/>
    <n v="64383"/>
    <n v="117"/>
    <s v="#PepsiCoRefresh"/>
    <s v="#BetterWithPepsi"/>
    <m/>
    <x v="6"/>
    <x v="3"/>
  </r>
  <r>
    <s v="P014"/>
    <x v="3"/>
    <s v="2025-02-16"/>
    <x v="1"/>
    <s v="Check out our latest story on facebook!"/>
    <n v="4242"/>
    <n v="555"/>
    <n v="131"/>
    <n v="33936"/>
    <n v="4797.0038602074492"/>
    <n v="4928"/>
    <n v="33802"/>
    <n v="265"/>
    <s v="#LiveForNow"/>
    <m/>
    <m/>
    <x v="6"/>
    <x v="4"/>
  </r>
  <r>
    <s v="P148"/>
    <x v="2"/>
    <s v="2025-04-15"/>
    <x v="0"/>
    <s v="Check out our latest video on instagram!"/>
    <n v="4133"/>
    <n v="466"/>
    <n v="327"/>
    <n v="24798"/>
    <n v="4599.0131865473022"/>
    <n v="4926"/>
    <n v="24620"/>
    <n v="176"/>
    <s v="#ThirstyForMore"/>
    <m/>
    <m/>
    <x v="6"/>
    <x v="1"/>
  </r>
  <r>
    <s v="P090"/>
    <x v="2"/>
    <s v="2024-06-03"/>
    <x v="3"/>
    <s v="Check out our latest image on instagram!"/>
    <n v="3861"/>
    <n v="960"/>
    <n v="101"/>
    <n v="69498"/>
    <n v="4821.0014532792311"/>
    <n v="4922"/>
    <n v="68817"/>
    <n v="297"/>
    <s v="#PepsiCoRefresh"/>
    <m/>
    <m/>
    <x v="6"/>
    <x v="1"/>
  </r>
  <r>
    <s v="P020"/>
    <x v="2"/>
    <s v="2024-09-09"/>
    <x v="4"/>
    <s v="Check out our latest carousel on instagram!"/>
    <n v="4054"/>
    <n v="488"/>
    <n v="373"/>
    <n v="77026"/>
    <n v="4542.0048425207069"/>
    <n v="4915"/>
    <n v="76881"/>
    <n v="25"/>
    <s v="#PepsiCoRefresh"/>
    <m/>
    <m/>
    <x v="6"/>
    <x v="0"/>
  </r>
  <r>
    <s v="P135"/>
    <x v="3"/>
    <s v="2024-11-28"/>
    <x v="2"/>
    <s v="Check out our latest text on facebook!"/>
    <n v="4213"/>
    <n v="253"/>
    <n v="434"/>
    <n v="75834"/>
    <n v="4466.0057230266111"/>
    <n v="4900"/>
    <n v="75437"/>
    <n v="272"/>
    <s v="#LiveForNow"/>
    <m/>
    <m/>
    <x v="6"/>
    <x v="1"/>
  </r>
  <r>
    <s v="P207"/>
    <x v="0"/>
    <s v="2024-12-29"/>
    <x v="4"/>
    <s v="Check out our latest carousel on twitter!"/>
    <n v="4274"/>
    <n v="340"/>
    <n v="281"/>
    <n v="34192"/>
    <n v="4614.008218296678"/>
    <n v="4895"/>
    <n v="33446"/>
    <n v="129"/>
    <s v="#PepsiCoRefresh"/>
    <s v="#SmoothLikeNitroPepsi"/>
    <m/>
    <x v="6"/>
    <x v="2"/>
  </r>
  <r>
    <s v="P125"/>
    <x v="0"/>
    <s v="2024-09-08"/>
    <x v="4"/>
    <s v="Check out our latest carousel on twitter!"/>
    <n v="3811"/>
    <n v="866"/>
    <n v="216"/>
    <n v="34299"/>
    <n v="4677.0062975596957"/>
    <n v="4893"/>
    <n v="34088"/>
    <n v="233"/>
    <s v="#PepsiCoRefresh"/>
    <m/>
    <m/>
    <x v="6"/>
    <x v="1"/>
  </r>
  <r>
    <s v="P285"/>
    <x v="1"/>
    <s v="2024-07-18"/>
    <x v="2"/>
    <s v="Check out our latest text on youtube!"/>
    <n v="4021"/>
    <n v="794"/>
    <n v="77"/>
    <n v="36189"/>
    <n v="4815.0021277183678"/>
    <n v="4892"/>
    <n v="35505"/>
    <n v="174"/>
    <s v="#ThirstyForMore"/>
    <m/>
    <m/>
    <x v="6"/>
    <x v="4"/>
  </r>
  <r>
    <s v="P243"/>
    <x v="0"/>
    <s v="2025-03-06"/>
    <x v="3"/>
    <s v="Check out our latest image on twitter!"/>
    <n v="3592"/>
    <n v="911"/>
    <n v="375"/>
    <n v="50288"/>
    <n v="4503.0074570474071"/>
    <n v="4878"/>
    <n v="49490"/>
    <n v="32"/>
    <s v="#LiveForNow"/>
    <m/>
    <m/>
    <x v="6"/>
    <x v="1"/>
  </r>
  <r>
    <s v="P179"/>
    <x v="3"/>
    <s v="2024-07-15"/>
    <x v="4"/>
    <s v="Check out our latest carousel on facebook!"/>
    <n v="3796"/>
    <n v="667"/>
    <n v="395"/>
    <n v="64532"/>
    <n v="4463.0061209942351"/>
    <n v="4858"/>
    <n v="63550"/>
    <n v="292"/>
    <s v="#PepsiCoRefresh"/>
    <m/>
    <m/>
    <x v="6"/>
    <x v="4"/>
  </r>
  <r>
    <s v="P024"/>
    <x v="3"/>
    <s v="2025-01-23"/>
    <x v="0"/>
    <s v="Check out our latest video on facebook!"/>
    <n v="3961"/>
    <n v="761"/>
    <n v="131"/>
    <n v="67337"/>
    <n v="4722.0019454386147"/>
    <n v="4853"/>
    <n v="66615"/>
    <n v="161"/>
    <s v="#LiveForNow"/>
    <m/>
    <m/>
    <x v="6"/>
    <x v="2"/>
  </r>
  <r>
    <s v="P237"/>
    <x v="2"/>
    <s v="2024-10-22"/>
    <x v="1"/>
    <s v="Check out our latest story on instagram!"/>
    <n v="3770"/>
    <n v="917"/>
    <n v="129"/>
    <n v="71630"/>
    <n v="4687.0018009214018"/>
    <n v="4816"/>
    <n v="71322"/>
    <n v="76"/>
    <s v="#LiveForNow"/>
    <m/>
    <m/>
    <x v="6"/>
    <x v="0"/>
  </r>
  <r>
    <s v="P099"/>
    <x v="1"/>
    <s v="2024-07-02"/>
    <x v="4"/>
    <s v="Check out our latest carousel on youtube!"/>
    <n v="4171"/>
    <n v="548"/>
    <n v="86"/>
    <n v="66736"/>
    <n v="4719.0012886597942"/>
    <n v="4805"/>
    <n v="66634"/>
    <n v="173"/>
    <s v="#LiveForNow"/>
    <m/>
    <m/>
    <x v="6"/>
    <x v="2"/>
  </r>
  <r>
    <s v="P085"/>
    <x v="2"/>
    <s v="2025-04-19"/>
    <x v="3"/>
    <s v="Check out our latest image on instagram!"/>
    <n v="4177"/>
    <n v="569"/>
    <n v="55"/>
    <n v="25062"/>
    <n v="4746.0021945574972"/>
    <n v="4801"/>
    <n v="24847"/>
    <n v="230"/>
    <s v="#LiveForNow"/>
    <m/>
    <m/>
    <x v="6"/>
    <x v="0"/>
  </r>
  <r>
    <s v="P205"/>
    <x v="0"/>
    <s v="2025-04-24"/>
    <x v="0"/>
    <s v="Check out our latest video on twitter!"/>
    <n v="3820"/>
    <n v="697"/>
    <n v="268"/>
    <n v="45840"/>
    <n v="4517.0058464223384"/>
    <n v="4785"/>
    <n v="45631"/>
    <n v="171"/>
    <s v="#PepsiCoRefresh"/>
    <s v="#SmoothLikeNitroPepsi"/>
    <m/>
    <x v="6"/>
    <x v="1"/>
  </r>
  <r>
    <s v="P212"/>
    <x v="1"/>
    <s v="2025-03-03"/>
    <x v="0"/>
    <s v="Check out our latest video on youtube!"/>
    <n v="3874"/>
    <n v="884"/>
    <n v="19"/>
    <n v="38740"/>
    <n v="4758.0004904491479"/>
    <n v="4777"/>
    <n v="38552"/>
    <n v="219"/>
    <s v="#PepsiCoRefresh"/>
    <m/>
    <m/>
    <x v="6"/>
    <x v="3"/>
  </r>
  <r>
    <s v="P156"/>
    <x v="3"/>
    <s v="2024-10-22"/>
    <x v="4"/>
    <s v="Check out our latest carousel on facebook!"/>
    <n v="3352"/>
    <n v="941"/>
    <n v="482"/>
    <n v="43576"/>
    <n v="4293.0110611345699"/>
    <n v="4775"/>
    <n v="43338"/>
    <n v="240"/>
    <s v="#LiveForNow"/>
    <m/>
    <m/>
    <x v="6"/>
    <x v="3"/>
  </r>
  <r>
    <s v="P110"/>
    <x v="2"/>
    <s v="2024-07-29"/>
    <x v="5"/>
    <s v="Check out our latest reel on instagram!"/>
    <n v="3523"/>
    <n v="753"/>
    <n v="482"/>
    <n v="38753"/>
    <n v="4276.0124377467555"/>
    <n v="4758"/>
    <n v="38579"/>
    <n v="270"/>
    <s v="#ThirstyForMore"/>
    <m/>
    <m/>
    <x v="6"/>
    <x v="3"/>
  </r>
  <r>
    <s v="P185"/>
    <x v="2"/>
    <s v="2025-01-11"/>
    <x v="4"/>
    <s v="Check out our latest carousel on instagram!"/>
    <n v="4523"/>
    <n v="61"/>
    <n v="157"/>
    <n v="49753"/>
    <n v="4584.003155588608"/>
    <n v="4741"/>
    <n v="49329"/>
    <n v="71"/>
    <s v="#ThirstyForMore"/>
    <m/>
    <m/>
    <x v="6"/>
    <x v="4"/>
  </r>
  <r>
    <s v="P063"/>
    <x v="0"/>
    <s v="2024-07-31"/>
    <x v="4"/>
    <s v="Check out our latest carousel on twitter!"/>
    <n v="4507"/>
    <n v="217"/>
    <n v="13"/>
    <n v="90140"/>
    <n v="4724.0001442201019"/>
    <n v="4737"/>
    <n v="89591"/>
    <n v="125"/>
    <s v="#LiveForNow"/>
    <m/>
    <m/>
    <x v="6"/>
    <x v="2"/>
  </r>
  <r>
    <s v="P186"/>
    <x v="3"/>
    <s v="2024-08-24"/>
    <x v="4"/>
    <s v="Check out our latest carousel on facebook!"/>
    <n v="4292"/>
    <n v="51"/>
    <n v="392"/>
    <n v="55796"/>
    <n v="4343.0070255932324"/>
    <n v="4735"/>
    <n v="54826"/>
    <n v="264"/>
    <s v="#ThirstyForMore"/>
    <m/>
    <m/>
    <x v="6"/>
    <x v="2"/>
  </r>
  <r>
    <s v="P005"/>
    <x v="1"/>
    <s v="2024-06-26"/>
    <x v="5"/>
    <s v="Check out our latest reel on youtube!"/>
    <n v="3557"/>
    <n v="687"/>
    <n v="424"/>
    <n v="71140"/>
    <n v="4244.0059600787181"/>
    <n v="4668"/>
    <n v="70701"/>
    <n v="224"/>
    <s v="#ThirstyForMore"/>
    <s v="#PepsiCoRefresh"/>
    <m/>
    <x v="6"/>
    <x v="0"/>
  </r>
  <r>
    <s v="P170"/>
    <x v="0"/>
    <s v="2025-04-28"/>
    <x v="2"/>
    <s v="Check out our latest text on twitter!"/>
    <n v="3577"/>
    <n v="596"/>
    <n v="493"/>
    <n v="67963"/>
    <n v="4173.0072539470002"/>
    <n v="4666"/>
    <n v="67839"/>
    <n v="53"/>
    <s v="#PepsiCoRefresh"/>
    <m/>
    <m/>
    <x v="6"/>
    <x v="2"/>
  </r>
  <r>
    <s v="P015"/>
    <x v="3"/>
    <s v="2024-10-24"/>
    <x v="0"/>
    <s v="Check out our latest video on facebook!"/>
    <n v="3888"/>
    <n v="604"/>
    <n v="128"/>
    <n v="77760"/>
    <n v="4492.0016460905354"/>
    <n v="4620"/>
    <n v="77167"/>
    <n v="20"/>
    <s v="#LiveForNow"/>
    <m/>
    <m/>
    <x v="6"/>
    <x v="0"/>
  </r>
  <r>
    <s v="P253"/>
    <x v="0"/>
    <s v="2024-08-03"/>
    <x v="5"/>
    <s v="Check out our latest reel on twitter!"/>
    <n v="3791"/>
    <n v="593"/>
    <n v="228"/>
    <n v="53074"/>
    <n v="4384.0042958887589"/>
    <n v="4612"/>
    <n v="52613"/>
    <n v="205"/>
    <s v="#ThirstyForMore"/>
    <m/>
    <m/>
    <x v="6"/>
    <x v="4"/>
  </r>
  <r>
    <s v="P126"/>
    <x v="2"/>
    <s v="2025-03-28"/>
    <x v="4"/>
    <s v="Check out our latest carousel on instagram!"/>
    <n v="4158"/>
    <n v="167"/>
    <n v="241"/>
    <n v="45738"/>
    <n v="4325.0052691416331"/>
    <n v="4566"/>
    <n v="45183"/>
    <n v="142"/>
    <s v="#LiveForNow"/>
    <m/>
    <m/>
    <x v="6"/>
    <x v="4"/>
  </r>
  <r>
    <s v="P127"/>
    <x v="3"/>
    <s v="2025-01-27"/>
    <x v="5"/>
    <s v="Check out our latest reel on facebook!"/>
    <n v="3452"/>
    <n v="652"/>
    <n v="442"/>
    <n v="65588"/>
    <n v="4104.0067390376289"/>
    <n v="4546"/>
    <n v="65049"/>
    <n v="158"/>
    <s v="#LiveForNow"/>
    <m/>
    <m/>
    <x v="6"/>
    <x v="2"/>
  </r>
  <r>
    <s v="P255"/>
    <x v="3"/>
    <s v="2025-04-03"/>
    <x v="1"/>
    <s v="Check out our latest story on facebook!"/>
    <n v="3767"/>
    <n v="514"/>
    <n v="238"/>
    <n v="37670"/>
    <n v="4281.0063180249535"/>
    <n v="4519"/>
    <n v="36807"/>
    <n v="226"/>
    <s v="#LiveForNow"/>
    <m/>
    <m/>
    <x v="6"/>
    <x v="1"/>
  </r>
  <r>
    <s v="P235"/>
    <x v="3"/>
    <s v="2024-12-22"/>
    <x v="3"/>
    <s v="Check out our latest image on facebook!"/>
    <n v="3196"/>
    <n v="941"/>
    <n v="376"/>
    <n v="35156"/>
    <n v="4137.0106951871658"/>
    <n v="4513"/>
    <n v="34444"/>
    <n v="241"/>
    <s v="#PepsiCoRefresh"/>
    <m/>
    <m/>
    <x v="6"/>
    <x v="2"/>
  </r>
  <r>
    <s v="P104"/>
    <x v="1"/>
    <s v="2025-03-23"/>
    <x v="1"/>
    <s v="Check out our latest story on youtube!"/>
    <n v="3655"/>
    <n v="568"/>
    <n v="286"/>
    <n v="32895"/>
    <n v="4223.008694330445"/>
    <n v="4509"/>
    <n v="32015"/>
    <n v="199"/>
    <s v="#PepsiCoRefresh"/>
    <m/>
    <m/>
    <x v="6"/>
    <x v="2"/>
  </r>
  <r>
    <s v="P008"/>
    <x v="1"/>
    <s v="2024-07-13"/>
    <x v="3"/>
    <s v="Check out our latest image on youtube!"/>
    <n v="3929"/>
    <n v="262"/>
    <n v="278"/>
    <n v="43219"/>
    <n v="4191.0064323561401"/>
    <n v="4469"/>
    <n v="42841"/>
    <n v="39"/>
    <s v="#ThirstyForMore"/>
    <m/>
    <m/>
    <x v="6"/>
    <x v="1"/>
  </r>
  <r>
    <s v="P136"/>
    <x v="2"/>
    <s v="2024-07-11"/>
    <x v="2"/>
    <s v="Check out our latest text on instagram!"/>
    <n v="3134"/>
    <n v="888"/>
    <n v="444"/>
    <n v="21938"/>
    <n v="4022.0202388549551"/>
    <n v="4466"/>
    <n v="21337"/>
    <n v="130"/>
    <s v="#ThirstyForMore"/>
    <m/>
    <m/>
    <x v="6"/>
    <x v="1"/>
  </r>
  <r>
    <s v="P271"/>
    <x v="2"/>
    <s v="2024-10-17"/>
    <x v="0"/>
    <s v="Check out our latest video on instagram!"/>
    <n v="3575"/>
    <n v="749"/>
    <n v="111"/>
    <n v="21450"/>
    <n v="4324.0051748251744"/>
    <n v="4435"/>
    <n v="20785"/>
    <n v="195"/>
    <s v="#ThirstyForMore"/>
    <m/>
    <m/>
    <x v="6"/>
    <x v="3"/>
  </r>
  <r>
    <s v="P122"/>
    <x v="2"/>
    <s v="2024-10-02"/>
    <x v="2"/>
    <s v="Check out our latest text on instagram!"/>
    <n v="3432"/>
    <n v="869"/>
    <n v="123"/>
    <n v="54912"/>
    <n v="4301.0022399475529"/>
    <n v="4424"/>
    <n v="53916"/>
    <n v="264"/>
    <s v="#ThirstyForMore"/>
    <m/>
    <m/>
    <x v="6"/>
    <x v="3"/>
  </r>
  <r>
    <s v="P200"/>
    <x v="3"/>
    <s v="2025-04-07"/>
    <x v="5"/>
    <s v="Check out our latest reel on facebook!"/>
    <n v="3718"/>
    <n v="385"/>
    <n v="310"/>
    <n v="70642"/>
    <n v="4103.0043883242261"/>
    <n v="4413"/>
    <n v="69749"/>
    <n v="233"/>
    <s v="#PepsiCoRefresh"/>
    <m/>
    <m/>
    <x v="6"/>
    <x v="3"/>
  </r>
  <r>
    <s v="P141"/>
    <x v="0"/>
    <s v="2024-08-31"/>
    <x v="3"/>
    <s v="Check out our latest image on twitter!"/>
    <n v="3170"/>
    <n v="857"/>
    <n v="379"/>
    <n v="19020"/>
    <n v="4027.0199263932705"/>
    <n v="4406"/>
    <n v="18559"/>
    <n v="240"/>
    <s v="#LiveForNow"/>
    <m/>
    <m/>
    <x v="6"/>
    <x v="4"/>
  </r>
  <r>
    <s v="P189"/>
    <x v="3"/>
    <s v="2025-03-24"/>
    <x v="5"/>
    <s v="Check out our latest reel on facebook!"/>
    <n v="3360"/>
    <n v="525"/>
    <n v="500"/>
    <n v="60480"/>
    <n v="3885.0082671957671"/>
    <n v="4385"/>
    <n v="59610"/>
    <n v="192"/>
    <s v="#PepsiCoRefresh"/>
    <m/>
    <m/>
    <x v="6"/>
    <x v="0"/>
  </r>
  <r>
    <s v="P184"/>
    <x v="0"/>
    <s v="2024-07-28"/>
    <x v="3"/>
    <s v="Check out our latest image on twitter!"/>
    <n v="3215"/>
    <n v="960"/>
    <n v="202"/>
    <n v="32150"/>
    <n v="4175.0062830482111"/>
    <n v="4377"/>
    <n v="31404"/>
    <n v="251"/>
    <s v="#ThirstyForMore"/>
    <m/>
    <m/>
    <x v="6"/>
    <x v="0"/>
  </r>
  <r>
    <s v="P258"/>
    <x v="2"/>
    <s v="2024-08-05"/>
    <x v="1"/>
    <s v="Check out our latest story on instagram!"/>
    <n v="3601"/>
    <n v="695"/>
    <n v="75"/>
    <n v="21606"/>
    <n v="4296.0034712579836"/>
    <n v="4371"/>
    <n v="21454"/>
    <n v="172"/>
    <s v="#ThirstyForMore"/>
    <m/>
    <m/>
    <x v="6"/>
    <x v="3"/>
  </r>
  <r>
    <s v="P039"/>
    <x v="3"/>
    <s v="2024-11-25"/>
    <x v="3"/>
    <s v="Check out our latest image on facebook!"/>
    <n v="3564"/>
    <n v="629"/>
    <n v="177"/>
    <n v="60588"/>
    <n v="4193.0029213705684"/>
    <n v="4370"/>
    <n v="59627"/>
    <n v="92"/>
    <s v="#PepsiCoRefresh"/>
    <m/>
    <m/>
    <x v="6"/>
    <x v="4"/>
  </r>
  <r>
    <s v="P180"/>
    <x v="1"/>
    <s v="2024-12-03"/>
    <x v="2"/>
    <s v="Check out our latest text on youtube!"/>
    <n v="3711"/>
    <n v="352"/>
    <n v="290"/>
    <n v="48243"/>
    <n v="4063.0060112347905"/>
    <n v="4353"/>
    <n v="47579"/>
    <n v="11"/>
    <s v="#PepsiCoRefresh"/>
    <m/>
    <m/>
    <x v="6"/>
    <x v="0"/>
  </r>
  <r>
    <s v="P116"/>
    <x v="1"/>
    <s v="2025-03-18"/>
    <x v="5"/>
    <s v="Check out our latest reel on youtube!"/>
    <n v="3704"/>
    <n v="186"/>
    <n v="458"/>
    <n v="25928"/>
    <n v="3890.0176643011418"/>
    <n v="4348"/>
    <n v="25081"/>
    <n v="131"/>
    <s v="#PepsiCoRefresh"/>
    <m/>
    <m/>
    <x v="6"/>
    <x v="4"/>
  </r>
  <r>
    <s v="P007"/>
    <x v="0"/>
    <s v="2024-06-24"/>
    <x v="4"/>
    <s v="Check out our latest carousel on twitter!"/>
    <n v="3860"/>
    <n v="201"/>
    <n v="279"/>
    <n v="61760"/>
    <n v="4061.0045174870465"/>
    <n v="4340"/>
    <n v="61660"/>
    <n v="235"/>
    <s v="#PepsiCoRefresh"/>
    <m/>
    <m/>
    <x v="6"/>
    <x v="3"/>
  </r>
  <r>
    <s v="P037"/>
    <x v="3"/>
    <s v="2025-01-06"/>
    <x v="4"/>
    <s v="Check out our latest carousel on facebook!"/>
    <n v="3024"/>
    <n v="925"/>
    <n v="350"/>
    <n v="24192"/>
    <n v="3949.0144675925926"/>
    <n v="4299"/>
    <n v="23518"/>
    <n v="36"/>
    <s v="#ThirstyForMore"/>
    <m/>
    <m/>
    <x v="6"/>
    <x v="3"/>
  </r>
  <r>
    <s v="P267"/>
    <x v="0"/>
    <s v="2024-10-04"/>
    <x v="5"/>
    <s v="Check out our latest reel on twitter!"/>
    <n v="4187"/>
    <n v="66"/>
    <n v="31"/>
    <n v="66992"/>
    <n v="4253.0004627418202"/>
    <n v="4284"/>
    <n v="66614"/>
    <n v="62"/>
    <s v="#LiveForNow"/>
    <m/>
    <m/>
    <x v="6"/>
    <x v="4"/>
  </r>
  <r>
    <s v="P169"/>
    <x v="1"/>
    <s v="2024-12-03"/>
    <x v="0"/>
    <s v="Check out our latest video on youtube!"/>
    <n v="3809"/>
    <n v="273"/>
    <n v="200"/>
    <n v="34281"/>
    <n v="4082.005834135527"/>
    <n v="4282"/>
    <n v="33534"/>
    <n v="83"/>
    <s v="#ThirstyForMore"/>
    <m/>
    <m/>
    <x v="6"/>
    <x v="0"/>
  </r>
  <r>
    <s v="P109"/>
    <x v="0"/>
    <s v="2024-08-08"/>
    <x v="1"/>
    <s v="Check out our latest story on twitter!"/>
    <n v="3649"/>
    <n v="215"/>
    <n v="413"/>
    <n v="25543"/>
    <n v="3864.0161688133735"/>
    <n v="4277"/>
    <n v="24963"/>
    <n v="167"/>
    <s v="#LiveForNow"/>
    <m/>
    <m/>
    <x v="6"/>
    <x v="2"/>
  </r>
  <r>
    <s v="P247"/>
    <x v="3"/>
    <s v="2024-08-27"/>
    <x v="5"/>
    <s v="Check out our latest reel on facebook!"/>
    <n v="3960"/>
    <n v="266"/>
    <n v="8"/>
    <n v="35640"/>
    <n v="4226.0002244668913"/>
    <n v="4234"/>
    <n v="34850"/>
    <n v="208"/>
    <s v="#LiveForNow"/>
    <s v="#ThirstyForMore"/>
    <s v="#BetterWithPepsi"/>
    <x v="6"/>
    <x v="4"/>
  </r>
  <r>
    <s v="P006"/>
    <x v="3"/>
    <s v="2024-10-31"/>
    <x v="4"/>
    <s v="Check out our latest carousel on facebook!"/>
    <n v="2945"/>
    <n v="930"/>
    <n v="355"/>
    <n v="23560"/>
    <n v="3875.0150679117146"/>
    <n v="4230"/>
    <n v="23275"/>
    <n v="256"/>
    <s v="#PepsiCoRefresh"/>
    <m/>
    <m/>
    <x v="6"/>
    <x v="3"/>
  </r>
  <r>
    <s v="P174"/>
    <x v="3"/>
    <s v="2024-06-22"/>
    <x v="2"/>
    <s v="Check out our latest text on facebook!"/>
    <n v="3828"/>
    <n v="148"/>
    <n v="253"/>
    <n v="30624"/>
    <n v="3976.008261494253"/>
    <n v="4229"/>
    <n v="30229"/>
    <n v="235"/>
    <s v="#ThirstyForMore"/>
    <m/>
    <m/>
    <x v="6"/>
    <x v="4"/>
  </r>
  <r>
    <s v="P016"/>
    <x v="3"/>
    <s v="2024-08-26"/>
    <x v="2"/>
    <s v="Check out our latest text on facebook!"/>
    <n v="3452"/>
    <n v="377"/>
    <n v="360"/>
    <n v="55232"/>
    <n v="3829.0065179606027"/>
    <n v="4189"/>
    <n v="55075"/>
    <n v="87"/>
    <s v="#LiveForNow"/>
    <m/>
    <m/>
    <x v="6"/>
    <x v="2"/>
  </r>
  <r>
    <s v="P274"/>
    <x v="0"/>
    <s v="2025-01-01"/>
    <x v="4"/>
    <s v="Check out our latest carousel on twitter!"/>
    <n v="3535"/>
    <n v="494"/>
    <n v="152"/>
    <n v="53025"/>
    <n v="4029.0028665723717"/>
    <n v="4181"/>
    <n v="52791"/>
    <n v="44"/>
    <s v="#PepsiCoRefresh"/>
    <m/>
    <m/>
    <x v="6"/>
    <x v="1"/>
  </r>
  <r>
    <s v="P162"/>
    <x v="3"/>
    <s v="2025-04-01"/>
    <x v="1"/>
    <s v="Check out our latest story on facebook!"/>
    <n v="3430"/>
    <n v="566"/>
    <n v="164"/>
    <n v="48020"/>
    <n v="3996.0034152436483"/>
    <n v="4160"/>
    <n v="47305"/>
    <n v="120"/>
    <s v="#LiveForNow"/>
    <m/>
    <m/>
    <x v="6"/>
    <x v="4"/>
  </r>
  <r>
    <s v="P203"/>
    <x v="2"/>
    <s v="2024-11-21"/>
    <x v="4"/>
    <s v="Check out our latest carousel on instagram!"/>
    <n v="3773"/>
    <n v="299"/>
    <n v="38"/>
    <n v="71687"/>
    <n v="4072.0005300821626"/>
    <n v="4110"/>
    <n v="71447"/>
    <n v="286"/>
    <s v="#LiveForNow"/>
    <m/>
    <m/>
    <x v="6"/>
    <x v="0"/>
  </r>
  <r>
    <s v="P176"/>
    <x v="3"/>
    <s v="2024-06-20"/>
    <x v="0"/>
    <s v="Check out our latest video on facebook!"/>
    <n v="3798"/>
    <n v="31"/>
    <n v="279"/>
    <n v="75960"/>
    <n v="3829.003672985782"/>
    <n v="4108"/>
    <n v="75813"/>
    <n v="266"/>
    <s v="#PepsiCoRefresh"/>
    <m/>
    <m/>
    <x v="6"/>
    <x v="0"/>
  </r>
  <r>
    <s v="P270"/>
    <x v="1"/>
    <s v="2025-01-15"/>
    <x v="5"/>
    <s v="Check out our latest reel on youtube!"/>
    <n v="3774"/>
    <n v="239"/>
    <n v="39"/>
    <n v="60384"/>
    <n v="4013.0006458664548"/>
    <n v="4052"/>
    <n v="59490"/>
    <n v="241"/>
    <s v="#PepsiCoRefresh"/>
    <m/>
    <m/>
    <x v="6"/>
    <x v="2"/>
  </r>
  <r>
    <s v="P103"/>
    <x v="3"/>
    <s v="2024-06-11"/>
    <x v="3"/>
    <s v="Check out our latest image on facebook!"/>
    <n v="3689"/>
    <n v="48"/>
    <n v="306"/>
    <n v="40579"/>
    <n v="3737.0075408462503"/>
    <n v="4043"/>
    <n v="39588"/>
    <n v="212"/>
    <s v="#ThirstyForMore"/>
    <m/>
    <m/>
    <x v="6"/>
    <x v="3"/>
  </r>
  <r>
    <s v="P035"/>
    <x v="2"/>
    <s v="2024-11-30"/>
    <x v="0"/>
    <s v="Check out our latest video on instagram!"/>
    <n v="3775"/>
    <n v="16"/>
    <n v="239"/>
    <n v="33975"/>
    <n v="3791.0070345842532"/>
    <n v="4030"/>
    <n v="33310"/>
    <n v="271"/>
    <s v="#LiveForNow"/>
    <m/>
    <m/>
    <x v="6"/>
    <x v="3"/>
  </r>
  <r>
    <s v="P134"/>
    <x v="0"/>
    <s v="2025-04-24"/>
    <x v="5"/>
    <s v="Check out our latest reel on twitter!"/>
    <n v="3731"/>
    <n v="115"/>
    <n v="135"/>
    <n v="55965"/>
    <n v="3846.0024122219243"/>
    <n v="3981"/>
    <n v="55436"/>
    <n v="103"/>
    <s v="#PepsiCoRefresh"/>
    <m/>
    <m/>
    <x v="6"/>
    <x v="0"/>
  </r>
  <r>
    <s v="P147"/>
    <x v="2"/>
    <s v="2024-10-21"/>
    <x v="5"/>
    <s v="Check out our latest reel on instagram!"/>
    <n v="3256"/>
    <n v="459"/>
    <n v="266"/>
    <n v="26048"/>
    <n v="3715.0102119164621"/>
    <n v="3981"/>
    <n v="25529"/>
    <n v="143"/>
    <s v="#PepsiCoRefresh"/>
    <m/>
    <m/>
    <x v="6"/>
    <x v="3"/>
  </r>
  <r>
    <s v="P146"/>
    <x v="1"/>
    <s v="2024-06-05"/>
    <x v="5"/>
    <s v="Check out our latest reel on youtube!"/>
    <n v="3065"/>
    <n v="772"/>
    <n v="142"/>
    <n v="18390"/>
    <n v="3837.0077215878196"/>
    <n v="3979"/>
    <n v="17875"/>
    <n v="200"/>
    <s v="#ThirstyForMore"/>
    <s v="#AnytimeIsPepsiTime"/>
    <m/>
    <x v="6"/>
    <x v="4"/>
  </r>
  <r>
    <s v="P230"/>
    <x v="3"/>
    <s v="2024-07-15"/>
    <x v="5"/>
    <s v="Check out our latest reel on facebook!"/>
    <n v="3663"/>
    <n v="17"/>
    <n v="295"/>
    <n v="51282"/>
    <n v="3680.0057525057523"/>
    <n v="3975"/>
    <n v="50567"/>
    <n v="84"/>
    <s v="#ThirstyForMore"/>
    <m/>
    <m/>
    <x v="6"/>
    <x v="2"/>
  </r>
  <r>
    <s v="P177"/>
    <x v="2"/>
    <s v="2024-07-10"/>
    <x v="4"/>
    <s v="Check out our latest carousel on instagram!"/>
    <n v="3099"/>
    <n v="694"/>
    <n v="171"/>
    <n v="43386"/>
    <n v="3793.0039413635736"/>
    <n v="3964"/>
    <n v="42921"/>
    <n v="52"/>
    <s v="#PepsiCoRefresh"/>
    <m/>
    <m/>
    <x v="6"/>
    <x v="2"/>
  </r>
  <r>
    <s v="P286"/>
    <x v="1"/>
    <s v="2024-09-25"/>
    <x v="0"/>
    <s v="Check out our latest video on youtube!"/>
    <n v="3389"/>
    <n v="344"/>
    <n v="229"/>
    <n v="20334"/>
    <n v="3733.0112619258384"/>
    <n v="3962"/>
    <n v="19443"/>
    <n v="228"/>
    <s v="#LiveForNow"/>
    <m/>
    <m/>
    <x v="6"/>
    <x v="2"/>
  </r>
  <r>
    <s v="P257"/>
    <x v="3"/>
    <s v="2025-04-06"/>
    <x v="3"/>
    <s v="Check out our latest image on facebook!"/>
    <n v="3090"/>
    <n v="697"/>
    <n v="164"/>
    <n v="49440"/>
    <n v="3787.0033171521036"/>
    <n v="3951"/>
    <n v="48524"/>
    <n v="25"/>
    <s v="#ThirstyForMore"/>
    <s v="#ThirstyForMore"/>
    <s v="#BetterWithPepsi"/>
    <x v="6"/>
    <x v="3"/>
  </r>
  <r>
    <s v="P273"/>
    <x v="1"/>
    <s v="2024-10-12"/>
    <x v="1"/>
    <s v="Check out our latest story on youtube!"/>
    <n v="3641"/>
    <n v="226"/>
    <n v="46"/>
    <n v="40051"/>
    <n v="3867.0011485356172"/>
    <n v="3913"/>
    <n v="39319"/>
    <n v="296"/>
    <s v="#ThirstyForMore"/>
    <m/>
    <m/>
    <x v="6"/>
    <x v="1"/>
  </r>
  <r>
    <s v="P151"/>
    <x v="2"/>
    <s v="2024-07-26"/>
    <x v="3"/>
    <s v="Check out our latest image on instagram!"/>
    <n v="3559"/>
    <n v="59"/>
    <n v="289"/>
    <n v="35590"/>
    <n v="3618.0081202584997"/>
    <n v="3907"/>
    <n v="35105"/>
    <n v="122"/>
    <s v="#ThirstyForMore"/>
    <m/>
    <m/>
    <x v="6"/>
    <x v="0"/>
  </r>
  <r>
    <s v="P095"/>
    <x v="2"/>
    <s v="2024-11-08"/>
    <x v="2"/>
    <s v="Check out our latest text on instagram!"/>
    <n v="3182"/>
    <n v="559"/>
    <n v="160"/>
    <n v="57276"/>
    <n v="3741.0027934911654"/>
    <n v="3901"/>
    <n v="56890"/>
    <n v="163"/>
    <s v="#LiveForNow"/>
    <m/>
    <m/>
    <x v="6"/>
    <x v="1"/>
  </r>
  <r>
    <s v="P208"/>
    <x v="1"/>
    <s v="2024-06-24"/>
    <x v="0"/>
    <s v="Check out our latest video on youtube!"/>
    <n v="2949"/>
    <n v="476"/>
    <n v="403"/>
    <n v="44235"/>
    <n v="3425.0091104329149"/>
    <n v="3828"/>
    <n v="43705"/>
    <n v="135"/>
    <s v="#PepsiCoRefresh"/>
    <m/>
    <m/>
    <x v="6"/>
    <x v="3"/>
  </r>
  <r>
    <s v="P086"/>
    <x v="1"/>
    <s v="2025-01-27"/>
    <x v="2"/>
    <s v="Check out our latest text on youtube!"/>
    <n v="3428"/>
    <n v="305"/>
    <n v="85"/>
    <n v="58276"/>
    <n v="3733.0014585764293"/>
    <n v="3818"/>
    <n v="58052"/>
    <n v="242"/>
    <s v="#ThirstyForMore"/>
    <s v="#BetterWithPepsi"/>
    <m/>
    <x v="6"/>
    <x v="1"/>
  </r>
  <r>
    <s v="P056"/>
    <x v="3"/>
    <s v="2024-12-18"/>
    <x v="4"/>
    <s v="Check out our latest carousel on facebook!"/>
    <n v="2946"/>
    <n v="498"/>
    <n v="367"/>
    <n v="29460"/>
    <n v="3444.0124575695859"/>
    <n v="3811"/>
    <n v="28527"/>
    <n v="60"/>
    <s v="#LiveForNow"/>
    <m/>
    <m/>
    <x v="6"/>
    <x v="2"/>
  </r>
  <r>
    <s v="P045"/>
    <x v="3"/>
    <s v="2024-11-01"/>
    <x v="0"/>
    <s v="Check out our latest video on facebook!"/>
    <n v="3371"/>
    <n v="106"/>
    <n v="327"/>
    <n v="50565"/>
    <n v="3477.0064669237613"/>
    <n v="3804"/>
    <n v="49816"/>
    <n v="176"/>
    <s v="#LiveForNow"/>
    <m/>
    <m/>
    <x v="6"/>
    <x v="0"/>
  </r>
  <r>
    <s v="P172"/>
    <x v="3"/>
    <s v="2024-08-14"/>
    <x v="4"/>
    <s v="Check out our latest carousel on facebook!"/>
    <n v="3073"/>
    <n v="553"/>
    <n v="174"/>
    <n v="52241"/>
    <n v="3626.0033307172525"/>
    <n v="3800"/>
    <n v="51605"/>
    <n v="246"/>
    <s v="#ThirstyForMore"/>
    <m/>
    <m/>
    <x v="6"/>
    <x v="2"/>
  </r>
  <r>
    <s v="P026"/>
    <x v="1"/>
    <s v="2025-04-05"/>
    <x v="5"/>
    <s v="Check out our latest reel on youtube!"/>
    <n v="3009"/>
    <n v="413"/>
    <n v="358"/>
    <n v="42126"/>
    <n v="3422.0084983145803"/>
    <n v="3780"/>
    <n v="41309"/>
    <n v="211"/>
    <s v="#LiveForNow"/>
    <m/>
    <m/>
    <x v="6"/>
    <x v="3"/>
  </r>
  <r>
    <s v="P213"/>
    <x v="3"/>
    <s v="2025-05-01"/>
    <x v="4"/>
    <s v="Check out our latest carousel on facebook!"/>
    <n v="2696"/>
    <n v="628"/>
    <n v="443"/>
    <n v="45832"/>
    <n v="3324.0096657357303"/>
    <n v="3767"/>
    <n v="45632"/>
    <n v="248"/>
    <s v="#ThirstyForMore"/>
    <m/>
    <m/>
    <x v="6"/>
    <x v="1"/>
  </r>
  <r>
    <s v="P223"/>
    <x v="0"/>
    <s v="2024-11-12"/>
    <x v="3"/>
    <s v="Check out our latest image on twitter!"/>
    <n v="3338"/>
    <n v="277"/>
    <n v="118"/>
    <n v="60084"/>
    <n v="3615.0019639171828"/>
    <n v="3733"/>
    <n v="59842"/>
    <n v="252"/>
    <s v="#PepsiCoRefresh"/>
    <m/>
    <m/>
    <x v="6"/>
    <x v="4"/>
  </r>
  <r>
    <s v="P283"/>
    <x v="0"/>
    <s v="2025-05-09"/>
    <x v="5"/>
    <s v="Check out our latest reel on twitter!"/>
    <n v="3367"/>
    <n v="302"/>
    <n v="57"/>
    <n v="63973"/>
    <n v="3669.000891000891"/>
    <n v="3726"/>
    <n v="63789"/>
    <n v="157"/>
    <s v="#LiveForNow"/>
    <m/>
    <m/>
    <x v="6"/>
    <x v="3"/>
  </r>
  <r>
    <s v="P018"/>
    <x v="2"/>
    <s v="2024-08-19"/>
    <x v="5"/>
    <s v="Check out our latest reel on instagram!"/>
    <n v="3000"/>
    <n v="382"/>
    <n v="325"/>
    <n v="36000"/>
    <n v="3382.0090277777776"/>
    <n v="3707"/>
    <n v="35819"/>
    <n v="19"/>
    <s v="#LiveForNow"/>
    <m/>
    <m/>
    <x v="6"/>
    <x v="0"/>
  </r>
  <r>
    <s v="P071"/>
    <x v="1"/>
    <s v="2024-09-02"/>
    <x v="4"/>
    <s v="Check out our latest carousel on youtube!"/>
    <n v="2551"/>
    <n v="915"/>
    <n v="205"/>
    <n v="30612"/>
    <n v="3466.0066967202406"/>
    <n v="3671"/>
    <n v="30360"/>
    <n v="227"/>
    <s v="#PepsiCoRefresh"/>
    <m/>
    <m/>
    <x v="6"/>
    <x v="3"/>
  </r>
  <r>
    <s v="P209"/>
    <x v="0"/>
    <s v="2025-03-19"/>
    <x v="0"/>
    <s v="Check out our latest video on twitter!"/>
    <n v="3160"/>
    <n v="204"/>
    <n v="297"/>
    <n v="44240"/>
    <n v="3364.0067133815551"/>
    <n v="3661"/>
    <n v="43666"/>
    <n v="49"/>
    <s v="#LiveForNow"/>
    <s v="#AnytimeIsPepsiTime"/>
    <m/>
    <x v="6"/>
    <x v="1"/>
  </r>
  <r>
    <s v="P057"/>
    <x v="0"/>
    <s v="2024-10-21"/>
    <x v="0"/>
    <s v="Check out our latest video on twitter!"/>
    <n v="2825"/>
    <n v="535"/>
    <n v="295"/>
    <n v="45200"/>
    <n v="3360.0065265486724"/>
    <n v="3655"/>
    <n v="44739"/>
    <n v="169"/>
    <s v="#PepsiCoRefresh"/>
    <m/>
    <m/>
    <x v="6"/>
    <x v="0"/>
  </r>
  <r>
    <s v="P047"/>
    <x v="0"/>
    <s v="2025-02-24"/>
    <x v="4"/>
    <s v="Check out our latest carousel on twitter!"/>
    <n v="2704"/>
    <n v="752"/>
    <n v="153"/>
    <n v="21632"/>
    <n v="3456.0070728550295"/>
    <n v="3609"/>
    <n v="20792"/>
    <n v="127"/>
    <s v="#LiveForNow"/>
    <m/>
    <m/>
    <x v="6"/>
    <x v="4"/>
  </r>
  <r>
    <s v="P293"/>
    <x v="3"/>
    <s v="2025-05-14"/>
    <x v="2"/>
    <s v="Check out our latest text on facebook!"/>
    <n v="2634"/>
    <n v="726"/>
    <n v="241"/>
    <n v="28974"/>
    <n v="3360.0083178021673"/>
    <n v="3601"/>
    <n v="28102"/>
    <n v="277"/>
    <s v="#ThirstyForMore"/>
    <m/>
    <m/>
    <x v="6"/>
    <x v="0"/>
  </r>
  <r>
    <s v="P281"/>
    <x v="1"/>
    <s v="2025-03-22"/>
    <x v="3"/>
    <s v="Check out our latest image on youtube!"/>
    <n v="3166"/>
    <n v="90"/>
    <n v="341"/>
    <n v="56988"/>
    <n v="3256.0059837158701"/>
    <n v="3597"/>
    <n v="56125"/>
    <n v="135"/>
    <s v="#ThirstyForMore"/>
    <m/>
    <m/>
    <x v="6"/>
    <x v="3"/>
  </r>
  <r>
    <s v="P038"/>
    <x v="1"/>
    <s v="2025-02-17"/>
    <x v="5"/>
    <s v="Check out our latest reel on youtube!"/>
    <n v="3138"/>
    <n v="123"/>
    <n v="291"/>
    <n v="28242"/>
    <n v="3261.0103038028469"/>
    <n v="3552"/>
    <n v="27550"/>
    <n v="87"/>
    <s v="#PepsiCoRefresh"/>
    <m/>
    <m/>
    <x v="6"/>
    <x v="1"/>
  </r>
  <r>
    <s v="P064"/>
    <x v="3"/>
    <s v="2024-08-17"/>
    <x v="3"/>
    <s v="Check out our latest image on facebook!"/>
    <n v="2878"/>
    <n v="248"/>
    <n v="416"/>
    <n v="43170"/>
    <n v="3126.0096363215198"/>
    <n v="3542"/>
    <n v="42667"/>
    <n v="75"/>
    <s v="#LiveForNow"/>
    <m/>
    <m/>
    <x v="6"/>
    <x v="2"/>
  </r>
  <r>
    <s v="P025"/>
    <x v="0"/>
    <s v="2025-04-10"/>
    <x v="4"/>
    <s v="Check out our latest carousel on twitter!"/>
    <n v="3128"/>
    <n v="211"/>
    <n v="197"/>
    <n v="59432"/>
    <n v="3339.0033147126128"/>
    <n v="3536"/>
    <n v="59182"/>
    <n v="238"/>
    <s v="#ThirstyForMore"/>
    <m/>
    <m/>
    <x v="6"/>
    <x v="4"/>
  </r>
  <r>
    <s v="P079"/>
    <x v="2"/>
    <s v="2024-10-09"/>
    <x v="4"/>
    <s v="Check out our latest carousel on instagram!"/>
    <n v="3068"/>
    <n v="137"/>
    <n v="329"/>
    <n v="39884"/>
    <n v="3205.0082489218735"/>
    <n v="3534"/>
    <n v="39404"/>
    <n v="266"/>
    <s v="#ThirstyForMore"/>
    <m/>
    <m/>
    <x v="6"/>
    <x v="3"/>
  </r>
  <r>
    <s v="P263"/>
    <x v="2"/>
    <s v="2024-08-20"/>
    <x v="5"/>
    <s v="Check out our latest reel on instagram!"/>
    <n v="2603"/>
    <n v="690"/>
    <n v="205"/>
    <n v="13015"/>
    <n v="3293.0157510564732"/>
    <n v="3498"/>
    <n v="12130"/>
    <n v="20"/>
    <s v="#LiveForNow"/>
    <m/>
    <m/>
    <x v="6"/>
    <x v="3"/>
  </r>
  <r>
    <s v="P165"/>
    <x v="0"/>
    <s v="2024-12-11"/>
    <x v="2"/>
    <s v="Check out our latest text on twitter!"/>
    <n v="3239"/>
    <n v="43"/>
    <n v="211"/>
    <n v="22673"/>
    <n v="3282.0093062232613"/>
    <n v="3493"/>
    <n v="22171"/>
    <n v="230"/>
    <s v="#PepsiCoRefresh"/>
    <m/>
    <m/>
    <x v="6"/>
    <x v="3"/>
  </r>
  <r>
    <s v="P128"/>
    <x v="0"/>
    <s v="2025-01-10"/>
    <x v="3"/>
    <s v="Check out our latest image on twitter!"/>
    <n v="3092"/>
    <n v="106"/>
    <n v="291"/>
    <n v="27828"/>
    <n v="3198.010457093575"/>
    <n v="3489"/>
    <n v="27217"/>
    <n v="102"/>
    <s v="#LiveForNow"/>
    <m/>
    <m/>
    <x v="6"/>
    <x v="4"/>
  </r>
  <r>
    <s v="P044"/>
    <x v="0"/>
    <s v="2025-03-02"/>
    <x v="3"/>
    <s v="Check out our latest image on twitter!"/>
    <n v="2358"/>
    <n v="784"/>
    <n v="344"/>
    <n v="35370"/>
    <n v="3142.0097257562907"/>
    <n v="3486"/>
    <n v="34475"/>
    <n v="216"/>
    <s v="#PepsiCoRefresh"/>
    <m/>
    <m/>
    <x v="6"/>
    <x v="4"/>
  </r>
  <r>
    <s v="P188"/>
    <x v="1"/>
    <s v="2024-06-06"/>
    <x v="5"/>
    <s v="Check out our latest reel on youtube!"/>
    <n v="2728"/>
    <n v="533"/>
    <n v="215"/>
    <n v="40920"/>
    <n v="3261.0052541544478"/>
    <n v="3476"/>
    <n v="40816"/>
    <n v="137"/>
    <s v="#LiveForNow"/>
    <m/>
    <m/>
    <x v="6"/>
    <x v="3"/>
  </r>
  <r>
    <s v="P296"/>
    <x v="0"/>
    <s v="2025-02-11"/>
    <x v="0"/>
    <s v="Check out our latest video on twitter!"/>
    <n v="3440"/>
    <n v="13"/>
    <n v="20"/>
    <n v="58480"/>
    <n v="3453.0003419972641"/>
    <n v="3473"/>
    <n v="58146"/>
    <n v="210"/>
    <s v="#PepsiCoRefresh"/>
    <s v="#SmoothLikeNitroPepsi"/>
    <m/>
    <x v="6"/>
    <x v="1"/>
  </r>
  <r>
    <s v="P130"/>
    <x v="1"/>
    <s v="2024-09-29"/>
    <x v="5"/>
    <s v="Check out our latest reel on youtube!"/>
    <n v="2936"/>
    <n v="439"/>
    <n v="44"/>
    <n v="38168"/>
    <n v="3375.0011527981555"/>
    <n v="3419"/>
    <n v="37571"/>
    <n v="22"/>
    <s v="#ThirstyForMore"/>
    <m/>
    <m/>
    <x v="6"/>
    <x v="1"/>
  </r>
  <r>
    <s v="P204"/>
    <x v="2"/>
    <s v="2025-01-01"/>
    <x v="4"/>
    <s v="Check out our latest carousel on instagram!"/>
    <n v="2234"/>
    <n v="653"/>
    <n v="432"/>
    <n v="11170"/>
    <n v="2887.0386750223815"/>
    <n v="3319"/>
    <n v="10569"/>
    <n v="198"/>
    <s v="#LiveForNow"/>
    <m/>
    <m/>
    <x v="6"/>
    <x v="2"/>
  </r>
  <r>
    <s v="P168"/>
    <x v="3"/>
    <s v="2024-11-12"/>
    <x v="2"/>
    <s v="Check out our latest text on facebook!"/>
    <n v="2418"/>
    <n v="754"/>
    <n v="54"/>
    <n v="43524"/>
    <n v="3172.001240694789"/>
    <n v="3226"/>
    <n v="42743"/>
    <n v="182"/>
    <s v="#ThirstyForMore"/>
    <m/>
    <m/>
    <x v="6"/>
    <x v="0"/>
  </r>
  <r>
    <s v="P299"/>
    <x v="3"/>
    <s v="2024-08-26"/>
    <x v="3"/>
    <s v="Check out our latest image on facebook!"/>
    <n v="2581"/>
    <n v="517"/>
    <n v="117"/>
    <n v="23229"/>
    <n v="3098.005036807439"/>
    <n v="3215"/>
    <n v="22331"/>
    <n v="70"/>
    <s v="#LiveForNow"/>
    <m/>
    <m/>
    <x v="6"/>
    <x v="2"/>
  </r>
  <r>
    <s v="P289"/>
    <x v="3"/>
    <s v="2024-11-28"/>
    <x v="4"/>
    <s v="Check out our latest carousel on facebook!"/>
    <n v="2751"/>
    <n v="33"/>
    <n v="430"/>
    <n v="44016"/>
    <n v="2784.0097691748456"/>
    <n v="3214"/>
    <n v="43415"/>
    <n v="129"/>
    <s v="#LiveForNow"/>
    <m/>
    <m/>
    <x v="6"/>
    <x v="4"/>
  </r>
  <r>
    <s v="P030"/>
    <x v="2"/>
    <s v="2025-02-25"/>
    <x v="0"/>
    <s v="Check out our latest video on instagram!"/>
    <n v="3095"/>
    <n v="39"/>
    <n v="78"/>
    <n v="55710"/>
    <n v="3134.0014001077006"/>
    <n v="3212"/>
    <n v="54808"/>
    <n v="93"/>
    <s v="#ThirstyForMore"/>
    <m/>
    <m/>
    <x v="6"/>
    <x v="4"/>
  </r>
  <r>
    <s v="P137"/>
    <x v="3"/>
    <s v="2024-07-31"/>
    <x v="0"/>
    <s v="Check out our latest video on facebook!"/>
    <n v="3008"/>
    <n v="94"/>
    <n v="37"/>
    <n v="15040"/>
    <n v="3102.0024601063828"/>
    <n v="3139"/>
    <n v="14639"/>
    <n v="277"/>
    <s v="#LiveForNow"/>
    <m/>
    <m/>
    <x v="6"/>
    <x v="4"/>
  </r>
  <r>
    <s v="P119"/>
    <x v="2"/>
    <s v="2025-02-07"/>
    <x v="5"/>
    <s v="Check out our latest reel on instagram!"/>
    <n v="1970"/>
    <n v="675"/>
    <n v="478"/>
    <n v="9850"/>
    <n v="2645.0485279187819"/>
    <n v="3123"/>
    <n v="8924"/>
    <n v="117"/>
    <s v="#LiveForNow"/>
    <m/>
    <m/>
    <x v="6"/>
    <x v="4"/>
  </r>
  <r>
    <s v="P094"/>
    <x v="2"/>
    <s v="2024-11-07"/>
    <x v="3"/>
    <s v="Check out our latest image on instagram!"/>
    <n v="2647"/>
    <n v="304"/>
    <n v="170"/>
    <n v="18529"/>
    <n v="2951.009174807059"/>
    <n v="3121"/>
    <n v="17841"/>
    <n v="46"/>
    <s v="#LiveForNow"/>
    <m/>
    <m/>
    <x v="6"/>
    <x v="2"/>
  </r>
  <r>
    <s v="P139"/>
    <x v="1"/>
    <s v="2024-10-29"/>
    <x v="2"/>
    <s v="Check out our latest text on youtube!"/>
    <n v="2746"/>
    <n v="156"/>
    <n v="203"/>
    <n v="32952"/>
    <n v="2902.0061604758434"/>
    <n v="3105"/>
    <n v="32147"/>
    <n v="147"/>
    <s v="#ThirstyForMore"/>
    <m/>
    <m/>
    <x v="6"/>
    <x v="0"/>
  </r>
  <r>
    <s v="P080"/>
    <x v="2"/>
    <s v="2024-06-13"/>
    <x v="1"/>
    <s v="Check out our latest story on instagram!"/>
    <n v="2103"/>
    <n v="892"/>
    <n v="103"/>
    <n v="39957"/>
    <n v="2995.0025777711039"/>
    <n v="3098"/>
    <n v="39466"/>
    <n v="28"/>
    <s v="#LiveForNow"/>
    <m/>
    <m/>
    <x v="6"/>
    <x v="4"/>
  </r>
  <r>
    <s v="P112"/>
    <x v="0"/>
    <s v="2024-10-05"/>
    <x v="1"/>
    <s v="Check out our latest story on twitter!"/>
    <n v="1957"/>
    <n v="877"/>
    <n v="238"/>
    <n v="17613"/>
    <n v="2834.0135127462668"/>
    <n v="3072"/>
    <n v="16865"/>
    <n v="297"/>
    <s v="#LiveForNow"/>
    <m/>
    <m/>
    <x v="6"/>
    <x v="2"/>
  </r>
  <r>
    <s v="P054"/>
    <x v="1"/>
    <s v="2025-03-13"/>
    <x v="4"/>
    <s v="Check out our latest carousel on youtube!"/>
    <n v="1686"/>
    <n v="904"/>
    <n v="472"/>
    <n v="18546"/>
    <n v="2590.0254502318558"/>
    <n v="3062"/>
    <n v="18171"/>
    <n v="52"/>
    <s v="#LiveForNow"/>
    <m/>
    <m/>
    <x v="6"/>
    <x v="3"/>
  </r>
  <r>
    <s v="P084"/>
    <x v="3"/>
    <s v="2024-12-09"/>
    <x v="3"/>
    <s v="Check out our latest image on facebook!"/>
    <n v="1841"/>
    <n v="851"/>
    <n v="342"/>
    <n v="34979"/>
    <n v="2692.0097772949484"/>
    <n v="3034"/>
    <n v="34154"/>
    <n v="255"/>
    <s v="#LiveForNow"/>
    <m/>
    <m/>
    <x v="6"/>
    <x v="1"/>
  </r>
  <r>
    <s v="P068"/>
    <x v="2"/>
    <s v="2024-12-08"/>
    <x v="1"/>
    <s v="Check out our latest story on instagram!"/>
    <n v="2610"/>
    <n v="126"/>
    <n v="288"/>
    <n v="15660"/>
    <n v="2736.0183908045979"/>
    <n v="3024"/>
    <n v="15145"/>
    <n v="73"/>
    <s v="#ThirstyForMore"/>
    <m/>
    <m/>
    <x v="6"/>
    <x v="4"/>
  </r>
  <r>
    <s v="P111"/>
    <x v="1"/>
    <s v="2024-11-23"/>
    <x v="3"/>
    <s v="Check out our latest image on youtube!"/>
    <n v="2719"/>
    <n v="17"/>
    <n v="285"/>
    <n v="40785"/>
    <n v="2736.0069878631848"/>
    <n v="3021"/>
    <n v="40281"/>
    <n v="40"/>
    <s v="#PepsiCoRefresh"/>
    <m/>
    <m/>
    <x v="6"/>
    <x v="3"/>
  </r>
  <r>
    <s v="P012"/>
    <x v="3"/>
    <s v="2024-07-21"/>
    <x v="5"/>
    <s v="Check out our latest reel on facebook!"/>
    <n v="1946"/>
    <n v="686"/>
    <n v="377"/>
    <n v="23352"/>
    <n v="2632.0161442274753"/>
    <n v="3009"/>
    <n v="22982"/>
    <n v="213"/>
    <s v="#LiveForNow"/>
    <m/>
    <m/>
    <x v="6"/>
    <x v="2"/>
  </r>
  <r>
    <s v="P290"/>
    <x v="2"/>
    <s v="2024-12-20"/>
    <x v="4"/>
    <s v="Check out our latest carousel on instagram!"/>
    <n v="2107"/>
    <n v="550"/>
    <n v="349"/>
    <n v="35819"/>
    <n v="2657.0097434322565"/>
    <n v="3006"/>
    <n v="35340"/>
    <n v="191"/>
    <s v="#ThirstyForMore"/>
    <m/>
    <m/>
    <x v="6"/>
    <x v="1"/>
  </r>
  <r>
    <s v="P199"/>
    <x v="1"/>
    <s v="2024-11-30"/>
    <x v="4"/>
    <s v="Check out our latest carousel on youtube!"/>
    <n v="2509"/>
    <n v="324"/>
    <n v="171"/>
    <n v="35126"/>
    <n v="2833.0048681888061"/>
    <n v="3004"/>
    <n v="34685"/>
    <n v="277"/>
    <s v="#PepsiCoRefresh"/>
    <m/>
    <m/>
    <x v="6"/>
    <x v="3"/>
  </r>
  <r>
    <s v="P049"/>
    <x v="0"/>
    <s v="2024-06-10"/>
    <x v="1"/>
    <s v="Check out our latest story on twitter!"/>
    <n v="2164"/>
    <n v="549"/>
    <n v="274"/>
    <n v="28132"/>
    <n v="2713.0097397980949"/>
    <n v="2987"/>
    <n v="27361"/>
    <n v="177"/>
    <s v="#PepsiCoRefresh"/>
    <m/>
    <m/>
    <x v="6"/>
    <x v="1"/>
  </r>
  <r>
    <s v="P050"/>
    <x v="1"/>
    <s v="2024-07-03"/>
    <x v="1"/>
    <s v="Check out our latest story on youtube!"/>
    <n v="2754"/>
    <n v="130"/>
    <n v="90"/>
    <n v="22032"/>
    <n v="2884.0040849673201"/>
    <n v="2974"/>
    <n v="21288"/>
    <n v="112"/>
    <s v="#PepsiCoRefresh"/>
    <m/>
    <m/>
    <x v="6"/>
    <x v="2"/>
  </r>
  <r>
    <s v="P129"/>
    <x v="0"/>
    <s v="2024-07-21"/>
    <x v="2"/>
    <s v="Check out our latest text on twitter!"/>
    <n v="2147"/>
    <n v="430"/>
    <n v="393"/>
    <n v="17176"/>
    <n v="2577.0228807638564"/>
    <n v="2970"/>
    <n v="16483"/>
    <n v="170"/>
    <s v="#PepsiCoRefresh"/>
    <m/>
    <m/>
    <x v="6"/>
    <x v="4"/>
  </r>
  <r>
    <s v="P003"/>
    <x v="1"/>
    <s v="2025-05-12"/>
    <x v="5"/>
    <s v="Check out our latest reel on youtube!"/>
    <n v="2795"/>
    <n v="105"/>
    <n v="49"/>
    <n v="53105"/>
    <n v="2900.0009227003106"/>
    <n v="2949"/>
    <n v="52307"/>
    <n v="204"/>
    <s v="#PepsiCoRefresh"/>
    <m/>
    <m/>
    <x v="6"/>
    <x v="2"/>
  </r>
  <r>
    <s v="P051"/>
    <x v="3"/>
    <s v="2024-06-13"/>
    <x v="4"/>
    <s v="Check out our latest carousel on facebook!"/>
    <n v="2200"/>
    <n v="504"/>
    <n v="239"/>
    <n v="37400"/>
    <n v="2704.0063903743317"/>
    <n v="2943"/>
    <n v="36938"/>
    <n v="225"/>
    <s v="#LiveForNow"/>
    <m/>
    <m/>
    <x v="6"/>
    <x v="3"/>
  </r>
  <r>
    <s v="P275"/>
    <x v="3"/>
    <s v="2024-08-05"/>
    <x v="5"/>
    <s v="Check out our latest reel on facebook!"/>
    <n v="1741"/>
    <n v="831"/>
    <n v="345"/>
    <n v="17410"/>
    <n v="2572.0198161975877"/>
    <n v="2917"/>
    <n v="16844"/>
    <n v="58"/>
    <s v="#ThirstyForMore"/>
    <m/>
    <m/>
    <x v="6"/>
    <x v="2"/>
  </r>
  <r>
    <s v="P004"/>
    <x v="2"/>
    <s v="2024-08-12"/>
    <x v="1"/>
    <s v="Check out our latest story on instagram!"/>
    <n v="2404"/>
    <n v="363"/>
    <n v="138"/>
    <n v="19232"/>
    <n v="2767.0071755407653"/>
    <n v="2905"/>
    <n v="18636"/>
    <n v="128"/>
    <s v="#ThirstyForMore"/>
    <m/>
    <m/>
    <x v="6"/>
    <x v="1"/>
  </r>
  <r>
    <s v="P011"/>
    <x v="2"/>
    <s v="2025-02-02"/>
    <x v="1"/>
    <s v="Check out our latest story on instagram!"/>
    <n v="1792"/>
    <n v="614"/>
    <n v="497"/>
    <n v="25088"/>
    <n v="2406.0198102678573"/>
    <n v="2903"/>
    <n v="24675"/>
    <n v="65"/>
    <s v="#LiveForNow"/>
    <m/>
    <m/>
    <x v="6"/>
    <x v="1"/>
  </r>
  <r>
    <s v="P132"/>
    <x v="2"/>
    <s v="2025-03-04"/>
    <x v="1"/>
    <s v="Check out our latest story on instagram!"/>
    <n v="1947"/>
    <n v="842"/>
    <n v="101"/>
    <n v="21417"/>
    <n v="2789.0047158799084"/>
    <n v="2890"/>
    <n v="20967"/>
    <n v="186"/>
    <s v="#LiveForNow"/>
    <m/>
    <m/>
    <x v="6"/>
    <x v="3"/>
  </r>
  <r>
    <s v="P254"/>
    <x v="0"/>
    <s v="2025-01-14"/>
    <x v="3"/>
    <s v="Check out our latest image on twitter!"/>
    <n v="2692"/>
    <n v="115"/>
    <n v="64"/>
    <n v="21536"/>
    <n v="2807.0029717682019"/>
    <n v="2871"/>
    <n v="21120"/>
    <n v="224"/>
    <s v="#LiveForNow"/>
    <m/>
    <m/>
    <x v="6"/>
    <x v="3"/>
  </r>
  <r>
    <s v="P140"/>
    <x v="3"/>
    <s v="2024-07-15"/>
    <x v="3"/>
    <s v="Check out our latest image on facebook!"/>
    <n v="2291"/>
    <n v="78"/>
    <n v="485"/>
    <n v="18328"/>
    <n v="2369.0264622435616"/>
    <n v="2854"/>
    <n v="18101"/>
    <n v="10"/>
    <s v="#ThirstyForMore"/>
    <s v="#SmoothLikeNitroPepsi"/>
    <m/>
    <x v="6"/>
    <x v="3"/>
  </r>
  <r>
    <s v="P043"/>
    <x v="2"/>
    <s v="2024-12-14"/>
    <x v="4"/>
    <s v="Check out our latest carousel on instagram!"/>
    <n v="2174"/>
    <n v="658"/>
    <n v="15"/>
    <n v="13044"/>
    <n v="2832.0011499540019"/>
    <n v="2847"/>
    <n v="12206"/>
    <n v="137"/>
    <s v="#PepsiCoRefresh"/>
    <m/>
    <m/>
    <x v="6"/>
    <x v="2"/>
  </r>
  <r>
    <s v="P265"/>
    <x v="0"/>
    <s v="2025-02-20"/>
    <x v="4"/>
    <s v="Check out our latest carousel on twitter!"/>
    <n v="1877"/>
    <n v="745"/>
    <n v="225"/>
    <n v="11262"/>
    <n v="2622.0199786893982"/>
    <n v="2847"/>
    <n v="10967"/>
    <n v="41"/>
    <s v="#ThirstyForMore"/>
    <m/>
    <m/>
    <x v="6"/>
    <x v="1"/>
  </r>
  <r>
    <s v="P098"/>
    <x v="0"/>
    <s v="2024-06-10"/>
    <x v="1"/>
    <s v="Check out our latest story on twitter!"/>
    <n v="1575"/>
    <n v="771"/>
    <n v="486"/>
    <n v="25200"/>
    <n v="2346.0192857142856"/>
    <n v="2832"/>
    <n v="24826"/>
    <n v="17"/>
    <s v="#LiveForNow"/>
    <m/>
    <m/>
    <x v="6"/>
    <x v="1"/>
  </r>
  <r>
    <s v="P059"/>
    <x v="2"/>
    <s v="2024-06-22"/>
    <x v="2"/>
    <s v="Check out our latest text on instagram!"/>
    <n v="2180"/>
    <n v="263"/>
    <n v="387"/>
    <n v="30520"/>
    <n v="2443.0126802096984"/>
    <n v="2830"/>
    <n v="30059"/>
    <n v="174"/>
    <s v="#ThirstyForMore"/>
    <m/>
    <m/>
    <x v="6"/>
    <x v="4"/>
  </r>
  <r>
    <s v="P222"/>
    <x v="3"/>
    <s v="2024-10-08"/>
    <x v="5"/>
    <s v="Check out our latest reel on facebook!"/>
    <n v="1814"/>
    <n v="653"/>
    <n v="363"/>
    <n v="25396"/>
    <n v="2467.0142935895415"/>
    <n v="2830"/>
    <n v="25286"/>
    <n v="39"/>
    <s v="#LiveForNow"/>
    <s v="#SmoothLikeNitroPepsi"/>
    <m/>
    <x v="6"/>
    <x v="0"/>
  </r>
  <r>
    <s v="P218"/>
    <x v="3"/>
    <s v="2024-06-11"/>
    <x v="4"/>
    <s v="Check out our latest carousel on facebook!"/>
    <n v="1869"/>
    <n v="453"/>
    <n v="490"/>
    <n v="14952"/>
    <n v="2322.0327715355807"/>
    <n v="2812"/>
    <n v="14309"/>
    <n v="275"/>
    <s v="#PepsiCoRefresh"/>
    <m/>
    <m/>
    <x v="6"/>
    <x v="1"/>
  </r>
  <r>
    <s v="P233"/>
    <x v="3"/>
    <s v="2025-03-08"/>
    <x v="3"/>
    <s v="Check out our latest image on facebook!"/>
    <n v="2382"/>
    <n v="265"/>
    <n v="134"/>
    <n v="38112"/>
    <n v="2647.0035159529807"/>
    <n v="2781"/>
    <n v="37437"/>
    <n v="249"/>
    <s v="#LiveForNow"/>
    <m/>
    <m/>
    <x v="6"/>
    <x v="1"/>
  </r>
  <r>
    <s v="P159"/>
    <x v="3"/>
    <s v="2024-11-25"/>
    <x v="1"/>
    <s v="Check out our latest story on facebook!"/>
    <n v="2120"/>
    <n v="158"/>
    <n v="488"/>
    <n v="12720"/>
    <n v="2278.0383647798744"/>
    <n v="2766"/>
    <n v="12085"/>
    <n v="17"/>
    <s v="#LiveForNow"/>
    <m/>
    <m/>
    <x v="6"/>
    <x v="3"/>
  </r>
  <r>
    <s v="P142"/>
    <x v="1"/>
    <s v="2025-03-25"/>
    <x v="1"/>
    <s v="Check out our latest story on youtube!"/>
    <n v="2070"/>
    <n v="275"/>
    <n v="386"/>
    <n v="39330"/>
    <n v="2345.00981439105"/>
    <n v="2731"/>
    <n v="38627"/>
    <n v="114"/>
    <s v="#LiveForNow"/>
    <m/>
    <m/>
    <x v="6"/>
    <x v="1"/>
  </r>
  <r>
    <s v="P048"/>
    <x v="0"/>
    <s v="2025-03-11"/>
    <x v="1"/>
    <s v="Check out our latest story on twitter!"/>
    <n v="1950"/>
    <n v="295"/>
    <n v="478"/>
    <n v="37050"/>
    <n v="2245.0129014844806"/>
    <n v="2723"/>
    <n v="36272"/>
    <n v="119"/>
    <s v="#PepsiCoRefresh"/>
    <m/>
    <m/>
    <x v="6"/>
    <x v="4"/>
  </r>
  <r>
    <s v="P029"/>
    <x v="2"/>
    <s v="2025-01-31"/>
    <x v="4"/>
    <s v="Check out our latest carousel on instagram!"/>
    <n v="2566"/>
    <n v="118"/>
    <n v="37"/>
    <n v="12830"/>
    <n v="2684.0028838659391"/>
    <n v="2721"/>
    <n v="12264"/>
    <n v="221"/>
    <s v="#LiveForNow"/>
    <m/>
    <m/>
    <x v="6"/>
    <x v="2"/>
  </r>
  <r>
    <s v="P087"/>
    <x v="0"/>
    <s v="2024-06-06"/>
    <x v="0"/>
    <s v="Check out our latest video on twitter!"/>
    <n v="1436"/>
    <n v="765"/>
    <n v="496"/>
    <n v="12924"/>
    <n v="2201.0383782110803"/>
    <n v="2697"/>
    <n v="12701"/>
    <n v="197"/>
    <s v="#LiveForNow"/>
    <m/>
    <m/>
    <x v="6"/>
    <x v="2"/>
  </r>
  <r>
    <s v="P042"/>
    <x v="1"/>
    <s v="2025-03-05"/>
    <x v="5"/>
    <s v="Check out our latest reel on youtube!"/>
    <n v="1543"/>
    <n v="820"/>
    <n v="333"/>
    <n v="12344"/>
    <n v="2363.026976668827"/>
    <n v="2696"/>
    <n v="11496"/>
    <n v="241"/>
    <s v="#ThirstyForMore"/>
    <m/>
    <m/>
    <x v="6"/>
    <x v="4"/>
  </r>
  <r>
    <s v="P133"/>
    <x v="3"/>
    <s v="2025-02-06"/>
    <x v="3"/>
    <s v="Check out our latest image on facebook!"/>
    <n v="2072"/>
    <n v="532"/>
    <n v="71"/>
    <n v="37296"/>
    <n v="2604.0019036894037"/>
    <n v="2675"/>
    <n v="36467"/>
    <n v="25"/>
    <s v="#PepsiCoRefresh"/>
    <m/>
    <m/>
    <x v="6"/>
    <x v="1"/>
  </r>
  <r>
    <s v="P075"/>
    <x v="2"/>
    <s v="2024-08-01"/>
    <x v="5"/>
    <s v="Check out our latest reel on instagram!"/>
    <n v="1674"/>
    <n v="929"/>
    <n v="37"/>
    <n v="21762"/>
    <n v="2603.0017002113777"/>
    <n v="2640"/>
    <n v="20998"/>
    <n v="255"/>
    <s v="#PepsiCoRefresh"/>
    <m/>
    <m/>
    <x v="6"/>
    <x v="1"/>
  </r>
  <r>
    <s v="P297"/>
    <x v="0"/>
    <s v="2024-12-24"/>
    <x v="2"/>
    <s v="Check out our latest text on twitter!"/>
    <n v="2166"/>
    <n v="354"/>
    <n v="117"/>
    <n v="10830"/>
    <n v="2520.0108033240999"/>
    <n v="2637"/>
    <n v="10245"/>
    <n v="24"/>
    <s v="#ThirstyForMore"/>
    <m/>
    <m/>
    <x v="6"/>
    <x v="1"/>
  </r>
  <r>
    <s v="P115"/>
    <x v="0"/>
    <s v="2025-05-11"/>
    <x v="3"/>
    <s v="Check out our latest image on twitter!"/>
    <n v="2493"/>
    <n v="97"/>
    <n v="44"/>
    <n v="42381"/>
    <n v="2590.0010382010805"/>
    <n v="2634"/>
    <n v="41991"/>
    <n v="242"/>
    <s v="#PepsiCoRefresh"/>
    <s v="#AnytimeIsPepsiTime"/>
    <m/>
    <x v="6"/>
    <x v="1"/>
  </r>
  <r>
    <s v="P252"/>
    <x v="3"/>
    <s v="2025-04-28"/>
    <x v="4"/>
    <s v="Check out our latest carousel on facebook!"/>
    <n v="2089"/>
    <n v="476"/>
    <n v="69"/>
    <n v="16712"/>
    <n v="2565.0041287697463"/>
    <n v="2634"/>
    <n v="16309"/>
    <n v="64"/>
    <s v="#LiveForNow"/>
    <m/>
    <m/>
    <x v="6"/>
    <x v="2"/>
  </r>
  <r>
    <s v="P149"/>
    <x v="0"/>
    <s v="2024-06-16"/>
    <x v="0"/>
    <s v="Check out our latest video on twitter!"/>
    <n v="1702"/>
    <n v="750"/>
    <n v="179"/>
    <n v="34040"/>
    <n v="2452.0052585193889"/>
    <n v="2631"/>
    <n v="33174"/>
    <n v="76"/>
    <s v="#ThirstyForMore"/>
    <m/>
    <m/>
    <x v="6"/>
    <x v="0"/>
  </r>
  <r>
    <s v="P155"/>
    <x v="1"/>
    <s v="2024-12-21"/>
    <x v="3"/>
    <s v="Check out our latest image on youtube!"/>
    <n v="2283"/>
    <n v="210"/>
    <n v="130"/>
    <n v="22830"/>
    <n v="2493.0056942619362"/>
    <n v="2623"/>
    <n v="22617"/>
    <n v="143"/>
    <s v="#LiveForNow"/>
    <m/>
    <m/>
    <x v="6"/>
    <x v="3"/>
  </r>
  <r>
    <s v="P089"/>
    <x v="0"/>
    <s v="2025-01-10"/>
    <x v="3"/>
    <s v="Check out our latest image on twitter!"/>
    <n v="2214"/>
    <n v="249"/>
    <n v="152"/>
    <n v="15498"/>
    <n v="2463.0098077171247"/>
    <n v="2615"/>
    <n v="14800"/>
    <n v="180"/>
    <s v="#ThirstyForMore"/>
    <m/>
    <m/>
    <x v="6"/>
    <x v="4"/>
  </r>
  <r>
    <s v="P032"/>
    <x v="0"/>
    <s v="2024-07-31"/>
    <x v="4"/>
    <s v="Check out our latest carousel on twitter!"/>
    <n v="2278"/>
    <n v="10"/>
    <n v="321"/>
    <n v="13668"/>
    <n v="2288.0234855136086"/>
    <n v="2609"/>
    <n v="12676"/>
    <n v="275"/>
    <s v="#ThirstyForMore"/>
    <m/>
    <m/>
    <x v="6"/>
    <x v="0"/>
  </r>
  <r>
    <s v="P158"/>
    <x v="2"/>
    <s v="2024-08-11"/>
    <x v="1"/>
    <s v="Check out our latest story on instagram!"/>
    <n v="1762"/>
    <n v="405"/>
    <n v="423"/>
    <n v="22906"/>
    <n v="2167.0184667772637"/>
    <n v="2590"/>
    <n v="21925"/>
    <n v="25"/>
    <s v="#PepsiCoRefresh"/>
    <m/>
    <m/>
    <x v="6"/>
    <x v="0"/>
  </r>
  <r>
    <s v="P295"/>
    <x v="0"/>
    <s v="2025-05-06"/>
    <x v="3"/>
    <s v="Check out our latest image on twitter!"/>
    <n v="1952"/>
    <n v="344"/>
    <n v="287"/>
    <n v="15616"/>
    <n v="2296.0183785860654"/>
    <n v="2583"/>
    <n v="15403"/>
    <n v="235"/>
    <s v="#LiveForNow"/>
    <s v="#PepsiCoRefresh"/>
    <s v="#AnytimeIsPepsiTime"/>
    <x v="6"/>
    <x v="3"/>
  </r>
  <r>
    <s v="P251"/>
    <x v="2"/>
    <s v="2025-03-27"/>
    <x v="4"/>
    <s v="Check out our latest carousel on instagram!"/>
    <n v="1377"/>
    <n v="796"/>
    <n v="387"/>
    <n v="22032"/>
    <n v="2173.017565359477"/>
    <n v="2560"/>
    <n v="21869"/>
    <n v="189"/>
    <s v="#LiveForNow"/>
    <m/>
    <m/>
    <x v="6"/>
    <x v="4"/>
  </r>
  <r>
    <s v="P196"/>
    <x v="2"/>
    <s v="2024-12-19"/>
    <x v="2"/>
    <s v="Check out our latest text on instagram!"/>
    <n v="1813"/>
    <n v="623"/>
    <n v="72"/>
    <n v="19943"/>
    <n v="2436.0036102893246"/>
    <n v="2508"/>
    <n v="18959"/>
    <n v="85"/>
    <s v="#ThirstyForMore"/>
    <m/>
    <m/>
    <x v="6"/>
    <x v="2"/>
  </r>
  <r>
    <s v="P065"/>
    <x v="2"/>
    <s v="2025-03-28"/>
    <x v="1"/>
    <s v="Check out our latest story on instagram!"/>
    <n v="1881"/>
    <n v="501"/>
    <n v="99"/>
    <n v="20691"/>
    <n v="2382.0047846889952"/>
    <n v="2481"/>
    <n v="19987"/>
    <n v="289"/>
    <s v="#ThirstyForMore"/>
    <m/>
    <m/>
    <x v="6"/>
    <x v="4"/>
  </r>
  <r>
    <s v="P023"/>
    <x v="3"/>
    <s v="2024-11-06"/>
    <x v="0"/>
    <s v="Check out our latest video on facebook!"/>
    <n v="1606"/>
    <n v="547"/>
    <n v="316"/>
    <n v="32120"/>
    <n v="2153.0098381070984"/>
    <n v="2469"/>
    <n v="31736"/>
    <n v="225"/>
    <s v="#PepsiCoRefresh"/>
    <s v="#AnytimeIsPepsiTime"/>
    <m/>
    <x v="6"/>
    <x v="3"/>
  </r>
  <r>
    <s v="P117"/>
    <x v="0"/>
    <s v="2024-11-04"/>
    <x v="3"/>
    <s v="Check out our latest image on twitter!"/>
    <n v="1606"/>
    <n v="451"/>
    <n v="405"/>
    <n v="20878"/>
    <n v="2057.0193984098096"/>
    <n v="2462"/>
    <n v="20190"/>
    <n v="219"/>
    <s v="#ThirstyForMore"/>
    <m/>
    <m/>
    <x v="6"/>
    <x v="1"/>
  </r>
  <r>
    <s v="P202"/>
    <x v="3"/>
    <s v="2024-06-02"/>
    <x v="3"/>
    <s v="Check out our latest image on facebook!"/>
    <n v="1871"/>
    <n v="252"/>
    <n v="335"/>
    <n v="29936"/>
    <n v="2123.0111905398185"/>
    <n v="2458"/>
    <n v="29576"/>
    <n v="288"/>
    <s v="#ThirstyForMore"/>
    <m/>
    <m/>
    <x v="6"/>
    <x v="2"/>
  </r>
  <r>
    <s v="P069"/>
    <x v="0"/>
    <s v="2025-03-08"/>
    <x v="2"/>
    <s v="Check out our latest text on twitter!"/>
    <n v="1292"/>
    <n v="626"/>
    <n v="496"/>
    <n v="25840"/>
    <n v="1918.0191950464396"/>
    <n v="2414"/>
    <n v="24916"/>
    <n v="149"/>
    <s v="#LiveForNow"/>
    <m/>
    <m/>
    <x v="6"/>
    <x v="2"/>
  </r>
  <r>
    <s v="P093"/>
    <x v="2"/>
    <s v="2024-12-11"/>
    <x v="0"/>
    <s v="Check out our latest video on instagram!"/>
    <n v="1431"/>
    <n v="951"/>
    <n v="26"/>
    <n v="8586"/>
    <n v="2382.0030281854183"/>
    <n v="2408"/>
    <n v="8396"/>
    <n v="150"/>
    <s v="#ThirstyForMore"/>
    <m/>
    <m/>
    <x v="6"/>
    <x v="2"/>
  </r>
  <r>
    <s v="P027"/>
    <x v="1"/>
    <s v="2024-09-17"/>
    <x v="2"/>
    <s v="Check out our latest text on youtube!"/>
    <n v="2076"/>
    <n v="195"/>
    <n v="104"/>
    <n v="33216"/>
    <n v="2271.0031310211948"/>
    <n v="2375"/>
    <n v="32244"/>
    <n v="51"/>
    <s v="#LiveForNow"/>
    <m/>
    <m/>
    <x v="6"/>
    <x v="1"/>
  </r>
  <r>
    <s v="P211"/>
    <x v="0"/>
    <s v="2024-07-18"/>
    <x v="4"/>
    <s v="Check out our latest carousel on twitter!"/>
    <n v="2120"/>
    <n v="38"/>
    <n v="212"/>
    <n v="12720"/>
    <n v="2158.0166666666669"/>
    <n v="2370"/>
    <n v="12564"/>
    <n v="21"/>
    <s v="#LiveForNow"/>
    <m/>
    <m/>
    <x v="6"/>
    <x v="1"/>
  </r>
  <r>
    <s v="P256"/>
    <x v="1"/>
    <s v="2024-09-18"/>
    <x v="4"/>
    <s v="Check out our latest carousel on youtube!"/>
    <n v="2143"/>
    <n v="12"/>
    <n v="204"/>
    <n v="40717"/>
    <n v="2155.005010192303"/>
    <n v="2359"/>
    <n v="40125"/>
    <n v="248"/>
    <s v="#ThirstyForMore"/>
    <m/>
    <m/>
    <x v="6"/>
    <x v="3"/>
  </r>
  <r>
    <s v="P187"/>
    <x v="0"/>
    <s v="2024-12-22"/>
    <x v="5"/>
    <s v="Check out our latest reel on twitter!"/>
    <n v="1644"/>
    <n v="546"/>
    <n v="150"/>
    <n v="27948"/>
    <n v="2190.0053671103478"/>
    <n v="2340"/>
    <n v="27184"/>
    <n v="300"/>
    <s v="#ThirstyForMore"/>
    <m/>
    <m/>
    <x v="6"/>
    <x v="2"/>
  </r>
  <r>
    <s v="P173"/>
    <x v="0"/>
    <s v="2024-12-05"/>
    <x v="0"/>
    <s v="Check out our latest video on twitter!"/>
    <n v="1330"/>
    <n v="925"/>
    <n v="35"/>
    <n v="15960"/>
    <n v="2255.0021929824561"/>
    <n v="2290"/>
    <n v="15379"/>
    <n v="229"/>
    <s v="#LiveForNow"/>
    <m/>
    <m/>
    <x v="6"/>
    <x v="2"/>
  </r>
  <r>
    <s v="P100"/>
    <x v="1"/>
    <s v="2025-02-10"/>
    <x v="0"/>
    <s v="Check out our latest video on youtube!"/>
    <n v="1766"/>
    <n v="92"/>
    <n v="424"/>
    <n v="24724"/>
    <n v="1858.0171493285877"/>
    <n v="2282"/>
    <n v="24333"/>
    <n v="52"/>
    <s v="#ThirstyForMore"/>
    <m/>
    <m/>
    <x v="6"/>
    <x v="4"/>
  </r>
  <r>
    <s v="P074"/>
    <x v="1"/>
    <s v="2024-10-28"/>
    <x v="5"/>
    <s v="Check out our latest reel on youtube!"/>
    <n v="1855"/>
    <n v="200"/>
    <n v="174"/>
    <n v="16695"/>
    <n v="2055.0104222821205"/>
    <n v="2229"/>
    <n v="16330"/>
    <n v="123"/>
    <s v="#PepsiCoRefresh"/>
    <m/>
    <m/>
    <x v="6"/>
    <x v="2"/>
  </r>
  <r>
    <s v="P226"/>
    <x v="2"/>
    <s v="2024-08-07"/>
    <x v="4"/>
    <s v="Check out our latest carousel on instagram!"/>
    <n v="1741"/>
    <n v="164"/>
    <n v="318"/>
    <n v="8705"/>
    <n v="1905.0365307294658"/>
    <n v="2223"/>
    <n v="8272"/>
    <n v="121"/>
    <s v="#PepsiCoRefresh"/>
    <m/>
    <m/>
    <x v="6"/>
    <x v="4"/>
  </r>
  <r>
    <s v="P154"/>
    <x v="2"/>
    <s v="2024-10-09"/>
    <x v="4"/>
    <s v="Check out our latest carousel on instagram!"/>
    <n v="985"/>
    <n v="932"/>
    <n v="287"/>
    <n v="6895"/>
    <n v="1917.0416243654822"/>
    <n v="2204"/>
    <n v="6757"/>
    <n v="64"/>
    <s v="#LiveForNow"/>
    <m/>
    <m/>
    <x v="6"/>
    <x v="1"/>
  </r>
  <r>
    <s v="P190"/>
    <x v="1"/>
    <s v="2024-10-04"/>
    <x v="2"/>
    <s v="Check out our latest text on youtube!"/>
    <n v="1963"/>
    <n v="213"/>
    <n v="19"/>
    <n v="39260"/>
    <n v="2176.000483953133"/>
    <n v="2195"/>
    <n v="38771"/>
    <n v="145"/>
    <s v="#LiveForNow"/>
    <m/>
    <m/>
    <x v="6"/>
    <x v="4"/>
  </r>
  <r>
    <s v="P033"/>
    <x v="3"/>
    <s v="2024-08-21"/>
    <x v="3"/>
    <s v="Check out our latest image on facebook!"/>
    <n v="1407"/>
    <n v="400"/>
    <n v="351"/>
    <n v="16884"/>
    <n v="1807.02078891258"/>
    <n v="2158"/>
    <n v="15954"/>
    <n v="113"/>
    <s v="#PepsiCoRefresh"/>
    <m/>
    <m/>
    <x v="6"/>
    <x v="0"/>
  </r>
  <r>
    <s v="P102"/>
    <x v="0"/>
    <s v="2024-09-18"/>
    <x v="5"/>
    <s v="Check out our latest reel on twitter!"/>
    <n v="1000"/>
    <n v="978"/>
    <n v="162"/>
    <n v="6000"/>
    <n v="1978.027"/>
    <n v="2140"/>
    <n v="5221"/>
    <n v="223"/>
    <s v="#ThirstyForMore"/>
    <m/>
    <m/>
    <x v="6"/>
    <x v="3"/>
  </r>
  <r>
    <s v="P145"/>
    <x v="2"/>
    <s v="2024-08-12"/>
    <x v="4"/>
    <s v="Check out our latest carousel on instagram!"/>
    <n v="1878"/>
    <n v="62"/>
    <n v="179"/>
    <n v="37560"/>
    <n v="1940.0047657082002"/>
    <n v="2119"/>
    <n v="36874"/>
    <n v="142"/>
    <s v="#PepsiCoRefresh"/>
    <m/>
    <m/>
    <x v="6"/>
    <x v="1"/>
  </r>
  <r>
    <s v="P287"/>
    <x v="2"/>
    <s v="2024-08-15"/>
    <x v="5"/>
    <s v="Check out our latest reel on instagram!"/>
    <n v="1164"/>
    <n v="616"/>
    <n v="324"/>
    <n v="6984"/>
    <n v="1780.0463917525774"/>
    <n v="2104"/>
    <n v="6636"/>
    <n v="82"/>
    <s v="#ThirstyForMore"/>
    <m/>
    <m/>
    <x v="6"/>
    <x v="0"/>
  </r>
  <r>
    <s v="P034"/>
    <x v="3"/>
    <s v="2025-03-26"/>
    <x v="2"/>
    <s v="Check out our latest text on facebook!"/>
    <n v="1652"/>
    <n v="89"/>
    <n v="357"/>
    <n v="29736"/>
    <n v="1741.0120056497176"/>
    <n v="2098"/>
    <n v="28771"/>
    <n v="215"/>
    <s v="#PepsiCoRefresh"/>
    <m/>
    <m/>
    <x v="6"/>
    <x v="2"/>
  </r>
  <r>
    <s v="P282"/>
    <x v="2"/>
    <s v="2024-10-03"/>
    <x v="0"/>
    <s v="Check out our latest video on instagram!"/>
    <n v="1488"/>
    <n v="417"/>
    <n v="168"/>
    <n v="19344"/>
    <n v="1905.0086848635235"/>
    <n v="2073"/>
    <n v="18395"/>
    <n v="30"/>
    <s v="#LiveForNow"/>
    <m/>
    <m/>
    <x v="6"/>
    <x v="2"/>
  </r>
  <r>
    <s v="P096"/>
    <x v="0"/>
    <s v="2024-09-10"/>
    <x v="3"/>
    <s v="Check out our latest image on twitter!"/>
    <n v="1238"/>
    <n v="366"/>
    <n v="444"/>
    <n v="19808"/>
    <n v="1604.0224151857835"/>
    <n v="2048"/>
    <n v="19334"/>
    <n v="123"/>
    <s v="#LiveForNow"/>
    <m/>
    <m/>
    <x v="6"/>
    <x v="4"/>
  </r>
  <r>
    <s v="P192"/>
    <x v="2"/>
    <s v="2024-11-29"/>
    <x v="0"/>
    <s v="Check out our latest video on instagram!"/>
    <n v="1176"/>
    <n v="464"/>
    <n v="394"/>
    <n v="14112"/>
    <n v="1640.0279195011337"/>
    <n v="2034"/>
    <n v="13588"/>
    <n v="272"/>
    <s v="#ThirstyForMore"/>
    <m/>
    <m/>
    <x v="6"/>
    <x v="4"/>
  </r>
  <r>
    <s v="P022"/>
    <x v="3"/>
    <s v="2025-02-27"/>
    <x v="2"/>
    <s v="Check out our latest text on facebook!"/>
    <n v="1570"/>
    <n v="187"/>
    <n v="260"/>
    <n v="25120"/>
    <n v="1757.0103503184714"/>
    <n v="2017"/>
    <n v="24613"/>
    <n v="133"/>
    <s v="#PepsiCoRefresh"/>
    <m/>
    <m/>
    <x v="6"/>
    <x v="1"/>
  </r>
  <r>
    <s v="P091"/>
    <x v="3"/>
    <s v="2025-03-24"/>
    <x v="3"/>
    <s v="Check out our latest image on facebook!"/>
    <n v="1263"/>
    <n v="397"/>
    <n v="357"/>
    <n v="25260"/>
    <n v="1660.0141330166271"/>
    <n v="2017"/>
    <n v="24615"/>
    <n v="137"/>
    <s v="#ThirstyForMore"/>
    <m/>
    <m/>
    <x v="6"/>
    <x v="1"/>
  </r>
  <r>
    <s v="P120"/>
    <x v="3"/>
    <s v="2024-10-21"/>
    <x v="1"/>
    <s v="Check out our latest story on facebook!"/>
    <n v="780"/>
    <n v="928"/>
    <n v="301"/>
    <n v="8580"/>
    <n v="1708.0350815850816"/>
    <n v="2009"/>
    <n v="8081"/>
    <n v="91"/>
    <s v="#ThirstyForMore"/>
    <m/>
    <m/>
    <x v="6"/>
    <x v="2"/>
  </r>
  <r>
    <s v="P001"/>
    <x v="0"/>
    <s v="2024-12-23"/>
    <x v="5"/>
    <s v="Check out our latest reel on twitter!"/>
    <n v="1461"/>
    <n v="184"/>
    <n v="344"/>
    <n v="21915"/>
    <n v="1645.0156970111796"/>
    <n v="1989"/>
    <n v="21675"/>
    <n v="15"/>
    <s v="#LiveForNow"/>
    <s v="#AnytimeIsPepsiTime"/>
    <m/>
    <x v="6"/>
    <x v="0"/>
  </r>
  <r>
    <s v="P060"/>
    <x v="2"/>
    <s v="2025-01-28"/>
    <x v="0"/>
    <s v="Check out our latest video on instagram!"/>
    <n v="904"/>
    <n v="973"/>
    <n v="63"/>
    <n v="11752"/>
    <n v="1877.0053607896527"/>
    <n v="1940"/>
    <n v="11580"/>
    <n v="84"/>
    <s v="#ThirstyForMore"/>
    <s v="#PepsiCoRefresh"/>
    <s v="#AnytimeIsPepsiTime"/>
    <x v="6"/>
    <x v="2"/>
  </r>
  <r>
    <s v="P081"/>
    <x v="2"/>
    <s v="2024-10-19"/>
    <x v="1"/>
    <s v="Check out our latest story on instagram!"/>
    <n v="1816"/>
    <n v="29"/>
    <n v="41"/>
    <n v="19976"/>
    <n v="1845.0020524629556"/>
    <n v="1886"/>
    <n v="19262"/>
    <n v="283"/>
    <s v="#PepsiCoRefresh"/>
    <m/>
    <m/>
    <x v="6"/>
    <x v="2"/>
  </r>
  <r>
    <s v="P276"/>
    <x v="0"/>
    <s v="2024-06-07"/>
    <x v="4"/>
    <s v="Check out our latest carousel on twitter!"/>
    <n v="1556"/>
    <n v="195"/>
    <n v="131"/>
    <n v="9336"/>
    <n v="1751.0140317052271"/>
    <n v="1882"/>
    <n v="8875"/>
    <n v="137"/>
    <s v="#PepsiCoRefresh"/>
    <m/>
    <m/>
    <x v="6"/>
    <x v="3"/>
  </r>
  <r>
    <s v="P198"/>
    <x v="0"/>
    <s v="2024-09-14"/>
    <x v="3"/>
    <s v="Check out our latest image on twitter!"/>
    <n v="1048"/>
    <n v="374"/>
    <n v="450"/>
    <n v="9432"/>
    <n v="1422.0477099236641"/>
    <n v="1872"/>
    <n v="8882"/>
    <n v="158"/>
    <s v="#PepsiCoRefresh"/>
    <m/>
    <m/>
    <x v="6"/>
    <x v="2"/>
  </r>
  <r>
    <s v="P181"/>
    <x v="1"/>
    <s v="2025-03-21"/>
    <x v="3"/>
    <s v="Check out our latest image on youtube!"/>
    <n v="606"/>
    <n v="789"/>
    <n v="470"/>
    <n v="7878"/>
    <n v="1395.0596598121351"/>
    <n v="1865"/>
    <n v="7389"/>
    <n v="239"/>
    <s v="#ThirstyForMore"/>
    <m/>
    <m/>
    <x v="6"/>
    <x v="2"/>
  </r>
  <r>
    <s v="P231"/>
    <x v="2"/>
    <s v="2025-05-01"/>
    <x v="2"/>
    <s v="Check out our latest text on instagram!"/>
    <n v="1430"/>
    <n v="376"/>
    <n v="33"/>
    <n v="21450"/>
    <n v="1806.0015384615385"/>
    <n v="1839"/>
    <n v="20509"/>
    <n v="251"/>
    <s v="#LiveForNow"/>
    <m/>
    <m/>
    <x v="6"/>
    <x v="0"/>
  </r>
  <r>
    <s v="P234"/>
    <x v="3"/>
    <s v="2024-06-01"/>
    <x v="2"/>
    <s v="Check out our latest text on facebook!"/>
    <n v="1272"/>
    <n v="465"/>
    <n v="99"/>
    <n v="24168"/>
    <n v="1737.00409632572"/>
    <n v="1836"/>
    <n v="23719"/>
    <n v="42"/>
    <s v="#PepsiCoRefresh"/>
    <m/>
    <m/>
    <x v="6"/>
    <x v="4"/>
  </r>
  <r>
    <s v="P219"/>
    <x v="0"/>
    <s v="2025-01-28"/>
    <x v="5"/>
    <s v="Check out our latest reel on twitter!"/>
    <n v="1188"/>
    <n v="470"/>
    <n v="174"/>
    <n v="7128"/>
    <n v="1658.0244107744109"/>
    <n v="1832"/>
    <n v="6145"/>
    <n v="270"/>
    <s v="#PepsiCoRefresh"/>
    <m/>
    <m/>
    <x v="6"/>
    <x v="1"/>
  </r>
  <r>
    <s v="P171"/>
    <x v="1"/>
    <s v="2024-12-31"/>
    <x v="0"/>
    <s v="Check out our latest video on youtube!"/>
    <n v="1018"/>
    <n v="447"/>
    <n v="332"/>
    <n v="18324"/>
    <n v="1465.0181183147783"/>
    <n v="1797"/>
    <n v="18164"/>
    <n v="38"/>
    <s v="#LiveForNow"/>
    <m/>
    <m/>
    <x v="6"/>
    <x v="3"/>
  </r>
  <r>
    <s v="P077"/>
    <x v="3"/>
    <s v="2025-03-04"/>
    <x v="1"/>
    <s v="Check out our latest story on facebook!"/>
    <n v="1249"/>
    <n v="116"/>
    <n v="420"/>
    <n v="8743"/>
    <n v="1365.0480384307446"/>
    <n v="1785"/>
    <n v="8538"/>
    <n v="63"/>
    <s v="#PepsiCoRefresh"/>
    <m/>
    <m/>
    <x v="6"/>
    <x v="4"/>
  </r>
  <r>
    <s v="P160"/>
    <x v="0"/>
    <s v="2024-08-24"/>
    <x v="0"/>
    <s v="Check out our latest video on twitter!"/>
    <n v="1082"/>
    <n v="209"/>
    <n v="484"/>
    <n v="19476"/>
    <n v="1291.0248510987883"/>
    <n v="1775"/>
    <n v="18654"/>
    <n v="20"/>
    <s v="#PepsiCoRefresh"/>
    <m/>
    <m/>
    <x v="6"/>
    <x v="4"/>
  </r>
  <r>
    <s v="P216"/>
    <x v="1"/>
    <s v="2024-07-29"/>
    <x v="1"/>
    <s v="Check out our latest story on youtube!"/>
    <n v="1509"/>
    <n v="88"/>
    <n v="163"/>
    <n v="30180"/>
    <n v="1597.0054009277667"/>
    <n v="1760"/>
    <n v="29689"/>
    <n v="119"/>
    <s v="#ThirstyForMore"/>
    <m/>
    <m/>
    <x v="6"/>
    <x v="3"/>
  </r>
  <r>
    <s v="P124"/>
    <x v="1"/>
    <s v="2025-04-06"/>
    <x v="4"/>
    <s v="Check out our latest carousel on youtube!"/>
    <n v="736"/>
    <n v="771"/>
    <n v="225"/>
    <n v="5152"/>
    <n v="1507.0436723602484"/>
    <n v="1732"/>
    <n v="4706"/>
    <n v="19"/>
    <s v="#ThirstyForMore"/>
    <m/>
    <m/>
    <x v="6"/>
    <x v="0"/>
  </r>
  <r>
    <s v="P166"/>
    <x v="0"/>
    <s v="2025-02-16"/>
    <x v="5"/>
    <s v="Check out our latest reel on twitter!"/>
    <n v="1076"/>
    <n v="313"/>
    <n v="306"/>
    <n v="11836"/>
    <n v="1389.0258533288272"/>
    <n v="1695"/>
    <n v="11596"/>
    <n v="104"/>
    <s v="#LiveForNow"/>
    <m/>
    <m/>
    <x v="6"/>
    <x v="0"/>
  </r>
  <r>
    <s v="P013"/>
    <x v="1"/>
    <s v="2024-11-18"/>
    <x v="4"/>
    <s v="Check out our latest carousel on youtube!"/>
    <n v="1171"/>
    <n v="286"/>
    <n v="231"/>
    <n v="22249"/>
    <n v="1457.0103824891007"/>
    <n v="1688"/>
    <n v="21282"/>
    <n v="114"/>
    <s v="#ThirstyForMore"/>
    <m/>
    <m/>
    <x v="6"/>
    <x v="0"/>
  </r>
  <r>
    <s v="P052"/>
    <x v="3"/>
    <s v="2025-01-03"/>
    <x v="3"/>
    <s v="Check out our latest image on facebook!"/>
    <n v="947"/>
    <n v="338"/>
    <n v="350"/>
    <n v="10417"/>
    <n v="1285.0335989248345"/>
    <n v="1635"/>
    <n v="9730"/>
    <n v="34"/>
    <s v="#PepsiCoRefresh"/>
    <m/>
    <m/>
    <x v="6"/>
    <x v="1"/>
  </r>
  <r>
    <s v="P236"/>
    <x v="3"/>
    <s v="2024-08-19"/>
    <x v="2"/>
    <s v="Check out our latest text on facebook!"/>
    <n v="1257"/>
    <n v="19"/>
    <n v="351"/>
    <n v="12570"/>
    <n v="1276.0279236276849"/>
    <n v="1627"/>
    <n v="11660"/>
    <n v="194"/>
    <s v="#LiveForNow"/>
    <s v="#AnytimeIsPepsiTime"/>
    <s v="#ThirstyForMore"/>
    <x v="6"/>
    <x v="3"/>
  </r>
  <r>
    <s v="P195"/>
    <x v="2"/>
    <s v="2024-08-15"/>
    <x v="4"/>
    <s v="Check out our latest carousel on instagram!"/>
    <n v="914"/>
    <n v="464"/>
    <n v="246"/>
    <n v="11882"/>
    <n v="1378.020703585255"/>
    <n v="1624"/>
    <n v="11500"/>
    <n v="282"/>
    <s v="#LiveForNow"/>
    <s v="#PepsiCoRefresh"/>
    <s v="#AnytimeIsPepsiTime"/>
    <x v="6"/>
    <x v="1"/>
  </r>
  <r>
    <s v="P210"/>
    <x v="1"/>
    <s v="2025-02-19"/>
    <x v="3"/>
    <s v="Check out our latest image on youtube!"/>
    <n v="257"/>
    <n v="966"/>
    <n v="398"/>
    <n v="3341"/>
    <n v="1223.1191260101766"/>
    <n v="1621"/>
    <n v="2753"/>
    <n v="287"/>
    <s v="#LiveForNow"/>
    <m/>
    <m/>
    <x v="6"/>
    <x v="0"/>
  </r>
  <r>
    <s v="P019"/>
    <x v="2"/>
    <s v="2024-06-23"/>
    <x v="0"/>
    <s v="Check out our latest video on instagram!"/>
    <n v="1071"/>
    <n v="519"/>
    <n v="22"/>
    <n v="16065"/>
    <n v="1590.0013694366635"/>
    <n v="1612"/>
    <n v="15865"/>
    <n v="103"/>
    <s v="#PepsiCoRefresh"/>
    <m/>
    <m/>
    <x v="6"/>
    <x v="1"/>
  </r>
  <r>
    <s v="P121"/>
    <x v="2"/>
    <s v="2024-07-29"/>
    <x v="1"/>
    <s v="Check out our latest story on instagram!"/>
    <n v="498"/>
    <n v="701"/>
    <n v="412"/>
    <n v="4980"/>
    <n v="1199.0827309236947"/>
    <n v="1611"/>
    <n v="4185"/>
    <n v="185"/>
    <s v="#LiveForNow"/>
    <m/>
    <m/>
    <x v="6"/>
    <x v="4"/>
  </r>
  <r>
    <s v="P083"/>
    <x v="1"/>
    <s v="2024-10-15"/>
    <x v="0"/>
    <s v="Check out our latest video on youtube!"/>
    <n v="1094"/>
    <n v="472"/>
    <n v="21"/>
    <n v="9846"/>
    <n v="1566.0021328458258"/>
    <n v="1587"/>
    <n v="9609"/>
    <n v="112"/>
    <s v="#ThirstyForMore"/>
    <m/>
    <m/>
    <x v="6"/>
    <x v="4"/>
  </r>
  <r>
    <s v="P214"/>
    <x v="2"/>
    <s v="2024-12-23"/>
    <x v="3"/>
    <s v="Check out our latest image on instagram!"/>
    <n v="521"/>
    <n v="746"/>
    <n v="315"/>
    <n v="4168"/>
    <n v="1267.0755758157391"/>
    <n v="1582"/>
    <n v="3399"/>
    <n v="282"/>
    <s v="#LiveForNow"/>
    <m/>
    <m/>
    <x v="6"/>
    <x v="3"/>
  </r>
  <r>
    <s v="P078"/>
    <x v="0"/>
    <s v="2024-06-17"/>
    <x v="3"/>
    <s v="Check out our latest image on twitter!"/>
    <n v="954"/>
    <n v="324"/>
    <n v="288"/>
    <n v="19080"/>
    <n v="1278.0150943396227"/>
    <n v="1566"/>
    <n v="18859"/>
    <n v="21"/>
    <s v="#LiveForNow"/>
    <m/>
    <m/>
    <x v="6"/>
    <x v="1"/>
  </r>
  <r>
    <s v="P292"/>
    <x v="3"/>
    <s v="2024-11-17"/>
    <x v="2"/>
    <s v="Check out our latest text on facebook!"/>
    <n v="880"/>
    <n v="297"/>
    <n v="345"/>
    <n v="12320"/>
    <n v="1177.0280032467533"/>
    <n v="1522"/>
    <n v="11978"/>
    <n v="238"/>
    <s v="#PepsiCoRefresh"/>
    <s v="#AnytimeIsPepsiTime"/>
    <m/>
    <x v="6"/>
    <x v="4"/>
  </r>
  <r>
    <s v="P206"/>
    <x v="0"/>
    <s v="2024-06-24"/>
    <x v="2"/>
    <s v="Check out our latest text on twitter!"/>
    <n v="941"/>
    <n v="121"/>
    <n v="458"/>
    <n v="14115"/>
    <n v="1062.0324477506199"/>
    <n v="1520"/>
    <n v="13838"/>
    <n v="87"/>
    <s v="#ThirstyForMore"/>
    <m/>
    <m/>
    <x v="6"/>
    <x v="0"/>
  </r>
  <r>
    <s v="P246"/>
    <x v="3"/>
    <s v="2024-10-11"/>
    <x v="3"/>
    <s v="Check out our latest image on facebook!"/>
    <n v="400"/>
    <n v="680"/>
    <n v="434"/>
    <n v="6400"/>
    <n v="1080.0678124999999"/>
    <n v="1514"/>
    <n v="5472"/>
    <n v="160"/>
    <s v="#LiveForNow"/>
    <m/>
    <m/>
    <x v="6"/>
    <x v="3"/>
  </r>
  <r>
    <s v="P041"/>
    <x v="2"/>
    <s v="2025-03-08"/>
    <x v="5"/>
    <s v="Check out our latest reel on instagram!"/>
    <n v="456"/>
    <n v="629"/>
    <n v="428"/>
    <n v="8208"/>
    <n v="1085.0521442495126"/>
    <n v="1513"/>
    <n v="7377"/>
    <n v="205"/>
    <s v="#LiveForNow"/>
    <m/>
    <m/>
    <x v="6"/>
    <x v="1"/>
  </r>
  <r>
    <s v="P046"/>
    <x v="0"/>
    <s v="2025-05-02"/>
    <x v="0"/>
    <s v="Check out our latest video on twitter!"/>
    <n v="1108"/>
    <n v="177"/>
    <n v="212"/>
    <n v="8864"/>
    <n v="1285.023916967509"/>
    <n v="1497"/>
    <n v="8710"/>
    <n v="97"/>
    <s v="#PepsiCoRefresh"/>
    <m/>
    <m/>
    <x v="6"/>
    <x v="1"/>
  </r>
  <r>
    <s v="P053"/>
    <x v="1"/>
    <s v="2025-02-24"/>
    <x v="4"/>
    <s v="Check out our latest carousel on youtube!"/>
    <n v="804"/>
    <n v="639"/>
    <n v="43"/>
    <n v="4020"/>
    <n v="1443.010696517413"/>
    <n v="1486"/>
    <n v="3144"/>
    <n v="11"/>
    <s v="#ThirstyForMore"/>
    <s v="#BetterWithPepsi"/>
    <m/>
    <x v="6"/>
    <x v="4"/>
  </r>
  <r>
    <s v="P262"/>
    <x v="1"/>
    <s v="2025-01-18"/>
    <x v="3"/>
    <s v="Check out our latest image on youtube!"/>
    <n v="1206"/>
    <n v="238"/>
    <n v="36"/>
    <n v="9648"/>
    <n v="1444.0037313432836"/>
    <n v="1480"/>
    <n v="9417"/>
    <n v="237"/>
    <s v="#PepsiCoRefresh"/>
    <m/>
    <m/>
    <x v="6"/>
    <x v="4"/>
  </r>
  <r>
    <s v="P240"/>
    <x v="0"/>
    <s v="2024-08-26"/>
    <x v="4"/>
    <s v="Check out our latest carousel on twitter!"/>
    <n v="929"/>
    <n v="192"/>
    <n v="322"/>
    <n v="16722"/>
    <n v="1121.0192560698481"/>
    <n v="1443"/>
    <n v="15996"/>
    <n v="145"/>
    <s v="#ThirstyForMore"/>
    <s v="#PepsiCoRefresh"/>
    <s v="#AnytimeIsPepsiTime"/>
    <x v="6"/>
    <x v="2"/>
  </r>
  <r>
    <s v="P070"/>
    <x v="3"/>
    <s v="2025-04-02"/>
    <x v="0"/>
    <s v="Check out our latest video on facebook!"/>
    <n v="199"/>
    <n v="772"/>
    <n v="400"/>
    <n v="3582"/>
    <n v="971.11166945840307"/>
    <n v="1371"/>
    <n v="2988"/>
    <n v="43"/>
    <s v="#PepsiCoRefresh"/>
    <m/>
    <m/>
    <x v="6"/>
    <x v="4"/>
  </r>
  <r>
    <s v="P055"/>
    <x v="3"/>
    <s v="2024-06-17"/>
    <x v="3"/>
    <s v="Check out our latest image on facebook!"/>
    <n v="1226"/>
    <n v="119"/>
    <n v="7"/>
    <n v="14712"/>
    <n v="1345.0004758020664"/>
    <n v="1352"/>
    <n v="14049"/>
    <n v="123"/>
    <s v="#ThirstyForMore"/>
    <m/>
    <m/>
    <x v="6"/>
    <x v="1"/>
  </r>
  <r>
    <s v="P224"/>
    <x v="3"/>
    <s v="2025-05-13"/>
    <x v="3"/>
    <s v="Check out our latest image on facebook!"/>
    <n v="602"/>
    <n v="594"/>
    <n v="156"/>
    <n v="4214"/>
    <n v="1196.0370194589464"/>
    <n v="1352"/>
    <n v="3363"/>
    <n v="164"/>
    <s v="#PepsiCoRefresh"/>
    <m/>
    <m/>
    <x v="6"/>
    <x v="2"/>
  </r>
  <r>
    <s v="P183"/>
    <x v="2"/>
    <s v="2024-12-17"/>
    <x v="1"/>
    <s v="Check out our latest story on instagram!"/>
    <n v="360"/>
    <n v="590"/>
    <n v="393"/>
    <n v="4680"/>
    <n v="950.08397435897439"/>
    <n v="1343"/>
    <n v="4322"/>
    <n v="208"/>
    <s v="#LiveForNow"/>
    <m/>
    <m/>
    <x v="6"/>
    <x v="3"/>
  </r>
  <r>
    <s v="P201"/>
    <x v="0"/>
    <s v="2025-01-15"/>
    <x v="5"/>
    <s v="Check out our latest reel on twitter!"/>
    <n v="802"/>
    <n v="262"/>
    <n v="244"/>
    <n v="14436"/>
    <n v="1064.0169021889719"/>
    <n v="1308"/>
    <n v="14280"/>
    <n v="49"/>
    <s v="#ThirstyForMore"/>
    <m/>
    <m/>
    <x v="6"/>
    <x v="0"/>
  </r>
  <r>
    <s v="P249"/>
    <x v="0"/>
    <s v="2024-07-18"/>
    <x v="3"/>
    <s v="Check out our latest image on twitter!"/>
    <n v="827"/>
    <n v="77"/>
    <n v="402"/>
    <n v="14886"/>
    <n v="904.02700523982264"/>
    <n v="1306"/>
    <n v="14129"/>
    <n v="254"/>
    <s v="#ThirstyForMore"/>
    <m/>
    <m/>
    <x v="6"/>
    <x v="3"/>
  </r>
  <r>
    <s v="P076"/>
    <x v="0"/>
    <s v="2024-11-07"/>
    <x v="1"/>
    <s v="Check out our latest story on twitter!"/>
    <n v="1121"/>
    <n v="135"/>
    <n v="18"/>
    <n v="15694"/>
    <n v="1256.0011469351346"/>
    <n v="1274"/>
    <n v="14957"/>
    <n v="99"/>
    <s v="#PepsiCoRefresh"/>
    <m/>
    <m/>
    <x v="6"/>
    <x v="1"/>
  </r>
  <r>
    <s v="P082"/>
    <x v="2"/>
    <s v="2024-07-24"/>
    <x v="3"/>
    <s v="Check out our latest image on instagram!"/>
    <n v="725"/>
    <n v="88"/>
    <n v="428"/>
    <n v="14500"/>
    <n v="813.02951724137927"/>
    <n v="1241"/>
    <n v="13637"/>
    <n v="200"/>
    <s v="#LiveForNow"/>
    <s v="#PepsiCoRefresh"/>
    <s v="#AnytimeIsPepsiTime"/>
    <x v="6"/>
    <x v="2"/>
  </r>
  <r>
    <s v="P153"/>
    <x v="0"/>
    <s v="2025-01-01"/>
    <x v="0"/>
    <s v="Check out our latest video on twitter!"/>
    <n v="754"/>
    <n v="197"/>
    <n v="257"/>
    <n v="6786"/>
    <n v="951.03787208959625"/>
    <n v="1208"/>
    <n v="6221"/>
    <n v="212"/>
    <s v="#PepsiCoRefresh"/>
    <m/>
    <m/>
    <x v="6"/>
    <x v="2"/>
  </r>
  <r>
    <s v="P028"/>
    <x v="2"/>
    <s v="2025-03-04"/>
    <x v="0"/>
    <s v="Check out our latest video on instagram!"/>
    <n v="432"/>
    <n v="624"/>
    <n v="123"/>
    <n v="6912"/>
    <n v="1056.0177951388889"/>
    <n v="1179"/>
    <n v="6259"/>
    <n v="79"/>
    <s v="#LiveForNow"/>
    <m/>
    <m/>
    <x v="6"/>
    <x v="1"/>
  </r>
  <r>
    <s v="P248"/>
    <x v="3"/>
    <s v="2025-02-02"/>
    <x v="1"/>
    <s v="Check out our latest story on facebook!"/>
    <n v="886"/>
    <n v="126"/>
    <n v="153"/>
    <n v="4430"/>
    <n v="1012.0345372460497"/>
    <n v="1165"/>
    <n v="4037"/>
    <n v="212"/>
    <s v="#ThirstyForMore"/>
    <m/>
    <m/>
    <x v="6"/>
    <x v="4"/>
  </r>
  <r>
    <s v="P284"/>
    <x v="0"/>
    <s v="2024-09-17"/>
    <x v="2"/>
    <s v="Check out our latest text on twitter!"/>
    <n v="571"/>
    <n v="190"/>
    <n v="352"/>
    <n v="9707"/>
    <n v="761.03626249098591"/>
    <n v="1113"/>
    <n v="9418"/>
    <n v="231"/>
    <s v="#PepsiCoRefresh"/>
    <m/>
    <m/>
    <x v="6"/>
    <x v="1"/>
  </r>
  <r>
    <s v="P175"/>
    <x v="2"/>
    <s v="2025-01-17"/>
    <x v="5"/>
    <s v="Check out our latest reel on instagram!"/>
    <n v="142"/>
    <n v="784"/>
    <n v="183"/>
    <n v="1704"/>
    <n v="926.10739436619713"/>
    <n v="1109"/>
    <n v="995"/>
    <n v="154"/>
    <s v="#LiveForNow"/>
    <m/>
    <m/>
    <x v="6"/>
    <x v="1"/>
  </r>
  <r>
    <s v="P232"/>
    <x v="0"/>
    <s v="2025-04-29"/>
    <x v="1"/>
    <s v="Check out our latest story on twitter!"/>
    <n v="249"/>
    <n v="592"/>
    <n v="230"/>
    <n v="1494"/>
    <n v="841.15394912985278"/>
    <n v="1071"/>
    <n v="1044"/>
    <n v="201"/>
    <s v="#ThirstyForMore"/>
    <m/>
    <m/>
    <x v="6"/>
    <x v="1"/>
  </r>
  <r>
    <s v="P220"/>
    <x v="2"/>
    <s v="2024-06-02"/>
    <x v="1"/>
    <s v="Check out our latest story on instagram!"/>
    <n v="84"/>
    <n v="897"/>
    <n v="85"/>
    <n v="588"/>
    <n v="981.14455782312928"/>
    <n v="1066"/>
    <n v="8"/>
    <n v="12"/>
    <s v="#ThirstyForMore"/>
    <m/>
    <m/>
    <x v="6"/>
    <x v="4"/>
  </r>
  <r>
    <s v="P178"/>
    <x v="2"/>
    <s v="2024-11-07"/>
    <x v="0"/>
    <s v="Check out our latest video on instagram!"/>
    <n v="129"/>
    <n v="643"/>
    <n v="136"/>
    <n v="1290"/>
    <n v="772.10542635658919"/>
    <n v="908"/>
    <n v="839"/>
    <n v="238"/>
    <s v="#PepsiCoRefresh"/>
    <m/>
    <m/>
    <x v="6"/>
    <x v="1"/>
  </r>
  <r>
    <s v="P058"/>
    <x v="2"/>
    <s v="2025-04-15"/>
    <x v="5"/>
    <s v="Check out our latest reel on instagram!"/>
    <n v="103"/>
    <n v="770"/>
    <n v="19"/>
    <n v="1030"/>
    <n v="873.01844660194172"/>
    <n v="892"/>
    <n v="410"/>
    <n v="262"/>
    <s v="#PepsiCoRefresh"/>
    <m/>
    <m/>
    <x v="6"/>
    <x v="1"/>
  </r>
  <r>
    <s v="P066"/>
    <x v="0"/>
    <s v="2024-07-26"/>
    <x v="4"/>
    <s v="Check out our latest carousel on twitter!"/>
    <n v="432"/>
    <n v="171"/>
    <n v="280"/>
    <n v="3024"/>
    <n v="603.09259259259261"/>
    <n v="883"/>
    <n v="2285"/>
    <n v="184"/>
    <s v="#ThirstyForMore"/>
    <m/>
    <m/>
    <x v="6"/>
    <x v="0"/>
  </r>
  <r>
    <s v="P259"/>
    <x v="3"/>
    <s v="2025-02-10"/>
    <x v="2"/>
    <s v="Check out our latest text on facebook!"/>
    <n v="562"/>
    <n v="158"/>
    <n v="149"/>
    <n v="3372"/>
    <n v="720.04418742586006"/>
    <n v="869"/>
    <n v="2940"/>
    <n v="93"/>
    <s v="#PepsiCoRefresh"/>
    <m/>
    <m/>
    <x v="6"/>
    <x v="0"/>
  </r>
  <r>
    <s v="P031"/>
    <x v="2"/>
    <s v="2024-12-16"/>
    <x v="2"/>
    <s v="Check out our latest text on instagram!"/>
    <n v="438"/>
    <n v="153"/>
    <n v="275"/>
    <n v="3066"/>
    <n v="591.08969341161117"/>
    <n v="866"/>
    <n v="2701"/>
    <n v="282"/>
    <s v="#PepsiCoRefresh"/>
    <m/>
    <m/>
    <x v="6"/>
    <x v="3"/>
  </r>
  <r>
    <s v="P088"/>
    <x v="3"/>
    <s v="2024-07-07"/>
    <x v="1"/>
    <s v="Check out our latest story on facebook!"/>
    <n v="302"/>
    <n v="47"/>
    <n v="430"/>
    <n v="5738"/>
    <n v="349.07493900313699"/>
    <n v="779"/>
    <n v="4890"/>
    <n v="25"/>
    <s v="#PepsiCoRefresh"/>
    <m/>
    <m/>
    <x v="6"/>
    <x v="1"/>
  </r>
  <r>
    <s v="P138"/>
    <x v="0"/>
    <s v="2025-03-29"/>
    <x v="3"/>
    <s v="Check out our latest image on twitter!"/>
    <n v="305"/>
    <n v="187"/>
    <n v="243"/>
    <n v="4575"/>
    <n v="492.05311475409837"/>
    <n v="735"/>
    <n v="3704"/>
    <n v="234"/>
    <s v="#LiveForNow"/>
    <m/>
    <m/>
    <x v="6"/>
    <x v="2"/>
  </r>
  <r>
    <s v="P105"/>
    <x v="2"/>
    <s v="2024-06-14"/>
    <x v="4"/>
    <s v="Check out our latest carousel on instagram!"/>
    <n v="498"/>
    <n v="38"/>
    <n v="42"/>
    <n v="4482"/>
    <n v="536.0093708165997"/>
    <n v="578"/>
    <n v="3647"/>
    <n v="32"/>
    <s v="#LiveForNow"/>
    <m/>
    <m/>
    <x v="6"/>
    <x v="0"/>
  </r>
  <r>
    <s v="P227"/>
    <x v="2"/>
    <s v="2024-06-12"/>
    <x v="2"/>
    <s v="Check out our latest text on instagram!"/>
    <n v="246"/>
    <n v="149"/>
    <n v="130"/>
    <n v="4674"/>
    <n v="395.02781343602908"/>
    <n v="525"/>
    <n v="4390"/>
    <n v="217"/>
    <s v="#LiveForNow"/>
    <m/>
    <m/>
    <x v="6"/>
    <x v="2"/>
  </r>
  <r>
    <s v="P143"/>
    <x v="1"/>
    <s v="2024-10-02"/>
    <x v="4"/>
    <s v="Check out our latest carousel on youtube!"/>
    <n v="80"/>
    <n v="362"/>
    <n v="80"/>
    <n v="1040"/>
    <n v="442.07692307692309"/>
    <n v="522"/>
    <n v="349"/>
    <n v="117"/>
    <s v="#PepsiCoRefresh"/>
    <m/>
    <m/>
    <x v="6"/>
    <x v="2"/>
  </r>
  <r>
    <s v="P062"/>
    <x v="0"/>
    <s v="2024-11-22"/>
    <x v="4"/>
    <s v="Check out our latest carousel on twitter!"/>
    <n v="53"/>
    <n v="81"/>
    <n v="379"/>
    <n v="954"/>
    <n v="134.39727463312369"/>
    <n v="513"/>
    <n v="7"/>
    <n v="148"/>
    <s v="#PepsiCoRefresh"/>
    <m/>
    <m/>
    <x v="6"/>
    <x v="2"/>
  </r>
  <r>
    <s v="P072"/>
    <x v="1"/>
    <s v="2025-03-03"/>
    <x v="5"/>
    <s v="Check out our latest reel on youtube!"/>
    <n v="296"/>
    <n v="60"/>
    <n v="141"/>
    <n v="5624"/>
    <n v="356.02507112375531"/>
    <n v="497"/>
    <n v="5239"/>
    <n v="88"/>
    <s v="#ThirstyForMore"/>
    <m/>
    <m/>
    <x v="6"/>
    <x v="3"/>
  </r>
  <r>
    <s v="P264"/>
    <x v="0"/>
    <s v="2025-01-30"/>
    <x v="3"/>
    <s v="Check out our latest image on twitter!"/>
    <n v="59"/>
    <n v="163"/>
    <n v="93"/>
    <n v="590"/>
    <n v="222.15762711864406"/>
    <n v="315"/>
    <n v="475"/>
    <n v="293"/>
    <s v="#PepsiCoRefresh"/>
    <m/>
    <m/>
    <x v="6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  <n v="0.30428616268120573"/>
  </r>
  <r>
    <x v="0"/>
    <x v="1"/>
    <n v="1312"/>
    <n v="310"/>
    <n v="42654"/>
    <n v="4.9800000000000004"/>
    <n v="9566"/>
    <n v="1002"/>
    <n v="2.3491348994232664"/>
  </r>
  <r>
    <x v="0"/>
    <x v="2"/>
    <n v="584"/>
    <n v="169"/>
    <n v="146834"/>
    <n v="8.31"/>
    <n v="26752"/>
    <n v="415"/>
    <n v="0.28263208793603661"/>
  </r>
  <r>
    <x v="0"/>
    <x v="3"/>
    <n v="1535"/>
    <n v="445"/>
    <n v="395536"/>
    <n v="4.1100000000000003"/>
    <n v="30671"/>
    <n v="1090"/>
    <n v="0.27557542170624166"/>
  </r>
  <r>
    <x v="1"/>
    <x v="0"/>
    <n v="656"/>
    <n v="139"/>
    <n v="49157"/>
    <n v="9.0500000000000007"/>
    <n v="9920"/>
    <n v="517"/>
    <n v="1.0517322049758935"/>
  </r>
  <r>
    <x v="1"/>
    <x v="1"/>
    <n v="1697"/>
    <n v="414"/>
    <n v="316555"/>
    <n v="2.37"/>
    <n v="7924"/>
    <n v="1283"/>
    <n v="0.40530081660374973"/>
  </r>
  <r>
    <x v="1"/>
    <x v="2"/>
    <n v="436"/>
    <n v="250"/>
    <n v="254347"/>
    <n v="4.01"/>
    <n v="8912"/>
    <n v="186"/>
    <n v="7.3128442639386351E-2"/>
  </r>
  <r>
    <x v="1"/>
    <x v="3"/>
    <n v="1197"/>
    <n v="203"/>
    <n v="413878"/>
    <n v="3.16"/>
    <n v="21205"/>
    <n v="994"/>
    <n v="0.24016739232334167"/>
  </r>
  <r>
    <x v="2"/>
    <x v="0"/>
    <n v="1048"/>
    <n v="155"/>
    <n v="456946"/>
    <n v="2.46"/>
    <n v="11329"/>
    <n v="893"/>
    <n v="0.19542790614208244"/>
  </r>
  <r>
    <x v="2"/>
    <x v="1"/>
    <n v="1753"/>
    <n v="371"/>
    <n v="169496"/>
    <n v="8.11"/>
    <n v="46670"/>
    <n v="1382"/>
    <n v="0.8153584745362723"/>
  </r>
  <r>
    <x v="2"/>
    <x v="2"/>
    <n v="1335"/>
    <n v="40"/>
    <n v="122732"/>
    <n v="8.19"/>
    <n v="22482"/>
    <n v="1295"/>
    <n v="1.0551445425805821"/>
  </r>
  <r>
    <x v="2"/>
    <x v="3"/>
    <n v="403"/>
    <n v="66"/>
    <n v="382851"/>
    <n v="3.49"/>
    <n v="24313"/>
    <n v="337"/>
    <n v="8.8023800381871797E-2"/>
  </r>
  <r>
    <x v="3"/>
    <x v="0"/>
    <n v="911"/>
    <n v="282"/>
    <n v="35664"/>
    <n v="6.92"/>
    <n v="18050"/>
    <n v="629"/>
    <n v="1.7636832660385824"/>
  </r>
  <r>
    <x v="3"/>
    <x v="1"/>
    <n v="1779"/>
    <n v="109"/>
    <n v="26295"/>
    <n v="9.1199999999999992"/>
    <n v="30635"/>
    <n v="1670"/>
    <n v="6.3510173036698996"/>
  </r>
  <r>
    <x v="3"/>
    <x v="2"/>
    <n v="1238"/>
    <n v="403"/>
    <n v="298421"/>
    <n v="3.5"/>
    <n v="31280"/>
    <n v="835"/>
    <n v="0.27980604582117208"/>
  </r>
  <r>
    <x v="3"/>
    <x v="3"/>
    <n v="308"/>
    <n v="431"/>
    <n v="426184"/>
    <n v="2.62"/>
    <n v="1783"/>
    <n v="-123"/>
    <n v="-2.8860773750305036E-2"/>
  </r>
  <r>
    <x v="4"/>
    <x v="0"/>
    <n v="226"/>
    <n v="445"/>
    <n v="419447"/>
    <n v="9.36"/>
    <n v="9566"/>
    <n v="-219"/>
    <n v="-5.2211602419375981E-2"/>
  </r>
  <r>
    <x v="4"/>
    <x v="1"/>
    <n v="505"/>
    <n v="441"/>
    <n v="220020"/>
    <n v="4.4800000000000004"/>
    <n v="42307"/>
    <n v="64"/>
    <n v="2.9088264703208796E-2"/>
  </r>
  <r>
    <x v="4"/>
    <x v="2"/>
    <n v="1420"/>
    <n v="63"/>
    <n v="315305"/>
    <n v="6.19"/>
    <n v="5914"/>
    <n v="1357"/>
    <n v="0.4303769366169265"/>
  </r>
  <r>
    <x v="4"/>
    <x v="3"/>
    <n v="144"/>
    <n v="53"/>
    <n v="113678"/>
    <n v="8.7200000000000006"/>
    <n v="30060"/>
    <n v="91"/>
    <n v="8.0050669434719113E-2"/>
  </r>
  <r>
    <x v="5"/>
    <x v="0"/>
    <n v="1757"/>
    <n v="85"/>
    <n v="58223"/>
    <n v="8.74"/>
    <n v="22728"/>
    <n v="1672"/>
    <n v="2.8717173625543171"/>
  </r>
  <r>
    <x v="5"/>
    <x v="1"/>
    <n v="350"/>
    <n v="41"/>
    <n v="251694"/>
    <n v="1.91"/>
    <n v="38610"/>
    <n v="309"/>
    <n v="0.12276812319721568"/>
  </r>
  <r>
    <x v="5"/>
    <x v="2"/>
    <n v="987"/>
    <n v="440"/>
    <n v="389810"/>
    <n v="4.66"/>
    <n v="2932"/>
    <n v="547"/>
    <n v="0.140324773607655"/>
  </r>
  <r>
    <x v="5"/>
    <x v="3"/>
    <n v="883"/>
    <n v="369"/>
    <n v="233694"/>
    <n v="2.88"/>
    <n v="15071"/>
    <n v="514"/>
    <n v="0.21994574101175038"/>
  </r>
  <r>
    <x v="6"/>
    <x v="0"/>
    <n v="1960"/>
    <n v="115"/>
    <n v="154169"/>
    <n v="3.74"/>
    <n v="10740"/>
    <n v="1845"/>
    <n v="1.1967386439556591"/>
  </r>
  <r>
    <x v="6"/>
    <x v="1"/>
    <n v="170"/>
    <n v="334"/>
    <n v="334626"/>
    <n v="6.44"/>
    <n v="43420"/>
    <n v="-164"/>
    <n v="-4.9009939454794309E-2"/>
  </r>
  <r>
    <x v="6"/>
    <x v="2"/>
    <n v="704"/>
    <n v="275"/>
    <n v="226002"/>
    <n v="8.56"/>
    <n v="32393"/>
    <n v="429"/>
    <n v="0.18982132901478749"/>
  </r>
  <r>
    <x v="6"/>
    <x v="3"/>
    <n v="224"/>
    <n v="64"/>
    <n v="156683"/>
    <n v="4.5599999999999996"/>
    <n v="28474"/>
    <n v="160"/>
    <n v="0.10211701333265255"/>
  </r>
  <r>
    <x v="7"/>
    <x v="0"/>
    <n v="508"/>
    <n v="349"/>
    <n v="473812"/>
    <n v="7.88"/>
    <n v="17328"/>
    <n v="159"/>
    <n v="3.3557613568250697E-2"/>
  </r>
  <r>
    <x v="7"/>
    <x v="1"/>
    <n v="1391"/>
    <n v="430"/>
    <n v="295032"/>
    <n v="7.86"/>
    <n v="26067"/>
    <n v="961"/>
    <n v="0.32572737872501967"/>
  </r>
  <r>
    <x v="7"/>
    <x v="2"/>
    <n v="1701"/>
    <n v="385"/>
    <n v="198278"/>
    <n v="5.34"/>
    <n v="32763"/>
    <n v="1316"/>
    <n v="0.66371458255580551"/>
  </r>
  <r>
    <x v="7"/>
    <x v="3"/>
    <n v="804"/>
    <n v="487"/>
    <n v="306564"/>
    <n v="5.52"/>
    <n v="26452"/>
    <n v="317"/>
    <n v="0.10340418313957282"/>
  </r>
  <r>
    <x v="8"/>
    <x v="0"/>
    <n v="653"/>
    <n v="112"/>
    <n v="23664"/>
    <n v="4.05"/>
    <n v="15353"/>
    <n v="541"/>
    <n v="2.2861730899256254"/>
  </r>
  <r>
    <x v="8"/>
    <x v="1"/>
    <n v="160"/>
    <n v="478"/>
    <n v="435034"/>
    <n v="7.73"/>
    <n v="4839"/>
    <n v="-318"/>
    <n v="-7.309773488968678E-2"/>
  </r>
  <r>
    <x v="8"/>
    <x v="2"/>
    <n v="1756"/>
    <n v="261"/>
    <n v="287574"/>
    <n v="4.3600000000000003"/>
    <n v="39272"/>
    <n v="1495"/>
    <n v="0.51986619096302167"/>
  </r>
  <r>
    <x v="8"/>
    <x v="3"/>
    <n v="576"/>
    <n v="101"/>
    <n v="62499"/>
    <n v="3.48"/>
    <n v="16804"/>
    <n v="475"/>
    <n v="0.76001216019456308"/>
  </r>
  <r>
    <x v="9"/>
    <x v="0"/>
    <n v="645"/>
    <n v="293"/>
    <n v="437968"/>
    <n v="7.83"/>
    <n v="49303"/>
    <n v="352"/>
    <n v="8.0371168669857163E-2"/>
  </r>
  <r>
    <x v="9"/>
    <x v="1"/>
    <n v="214"/>
    <n v="411"/>
    <n v="125034"/>
    <n v="6.11"/>
    <n v="26455"/>
    <n v="-197"/>
    <n v="-0.15755714445670779"/>
  </r>
  <r>
    <x v="9"/>
    <x v="2"/>
    <n v="826"/>
    <n v="498"/>
    <n v="449994"/>
    <n v="9.43"/>
    <n v="12384"/>
    <n v="328"/>
    <n v="7.2889860753698937E-2"/>
  </r>
  <r>
    <x v="9"/>
    <x v="3"/>
    <n v="460"/>
    <n v="141"/>
    <n v="320650"/>
    <n v="4.04"/>
    <n v="49372"/>
    <n v="319"/>
    <n v="9.9485420240137221E-2"/>
  </r>
  <r>
    <x v="10"/>
    <x v="0"/>
    <n v="1528"/>
    <n v="203"/>
    <n v="489188"/>
    <n v="6.23"/>
    <n v="47101"/>
    <n v="1325"/>
    <n v="0.27085701202809553"/>
  </r>
  <r>
    <x v="10"/>
    <x v="1"/>
    <n v="1534"/>
    <n v="200"/>
    <n v="307612"/>
    <n v="6.01"/>
    <n v="37903"/>
    <n v="1334"/>
    <n v="0.43366318609156984"/>
  </r>
  <r>
    <x v="10"/>
    <x v="2"/>
    <n v="485"/>
    <n v="448"/>
    <n v="434883"/>
    <n v="8.5500000000000007"/>
    <n v="33258"/>
    <n v="37"/>
    <n v="8.5080354946042956E-3"/>
  </r>
  <r>
    <x v="10"/>
    <x v="3"/>
    <n v="1210"/>
    <n v="178"/>
    <n v="102042"/>
    <n v="5.42"/>
    <n v="6915"/>
    <n v="1032"/>
    <n v="1.011348268360087"/>
  </r>
  <r>
    <x v="11"/>
    <x v="0"/>
    <n v="215"/>
    <n v="139"/>
    <n v="325444"/>
    <n v="3.25"/>
    <n v="35501"/>
    <n v="76"/>
    <n v="2.335271198731579E-2"/>
  </r>
  <r>
    <x v="11"/>
    <x v="1"/>
    <n v="1078"/>
    <n v="20"/>
    <n v="183924"/>
    <n v="8.84"/>
    <n v="14203"/>
    <n v="1058"/>
    <n v="0.57523759813836151"/>
  </r>
  <r>
    <x v="11"/>
    <x v="2"/>
    <n v="1751"/>
    <n v="86"/>
    <n v="188655"/>
    <n v="7.24"/>
    <n v="22206"/>
    <n v="1665"/>
    <n v="0.88256340939810773"/>
  </r>
  <r>
    <x v="11"/>
    <x v="3"/>
    <n v="221"/>
    <n v="31"/>
    <n v="87443"/>
    <n v="6.19"/>
    <n v="10283"/>
    <n v="190"/>
    <n v="0.21728440241071326"/>
  </r>
  <r>
    <x v="12"/>
    <x v="0"/>
    <n v="1685"/>
    <n v="76"/>
    <n v="453799"/>
    <n v="5.71"/>
    <n v="24913"/>
    <n v="1609"/>
    <n v="0.35456226214689768"/>
  </r>
  <r>
    <x v="12"/>
    <x v="1"/>
    <n v="248"/>
    <n v="211"/>
    <n v="379380"/>
    <n v="9.0399999999999991"/>
    <n v="26925"/>
    <n v="37"/>
    <n v="9.7527544941747053E-3"/>
  </r>
  <r>
    <x v="12"/>
    <x v="2"/>
    <n v="1300"/>
    <n v="71"/>
    <n v="186454"/>
    <n v="3.91"/>
    <n v="9942"/>
    <n v="1229"/>
    <n v="0.65914381026955704"/>
  </r>
  <r>
    <x v="12"/>
    <x v="3"/>
    <n v="422"/>
    <n v="394"/>
    <n v="239044"/>
    <n v="7.83"/>
    <n v="32929"/>
    <n v="28"/>
    <n v="1.1713324743561855E-2"/>
  </r>
  <r>
    <x v="13"/>
    <x v="0"/>
    <n v="1429"/>
    <n v="182"/>
    <n v="101332"/>
    <n v="7.16"/>
    <n v="37829"/>
    <n v="1247"/>
    <n v="1.2306082974775983"/>
  </r>
  <r>
    <x v="13"/>
    <x v="1"/>
    <n v="1520"/>
    <n v="475"/>
    <n v="496982"/>
    <n v="6.41"/>
    <n v="24384"/>
    <n v="1045"/>
    <n v="0.21026918479944948"/>
  </r>
  <r>
    <x v="13"/>
    <x v="2"/>
    <n v="557"/>
    <n v="360"/>
    <n v="318779"/>
    <n v="8.02"/>
    <n v="25797"/>
    <n v="197"/>
    <n v="6.1798299135137513E-2"/>
  </r>
  <r>
    <x v="13"/>
    <x v="3"/>
    <n v="728"/>
    <n v="395"/>
    <n v="370971"/>
    <n v="3.86"/>
    <n v="12646"/>
    <n v="333"/>
    <n v="8.9764429025449427E-2"/>
  </r>
  <r>
    <x v="14"/>
    <x v="0"/>
    <n v="1592"/>
    <n v="20"/>
    <n v="378054"/>
    <n v="9.09"/>
    <n v="26663"/>
    <n v="1572"/>
    <n v="0.41581361392816901"/>
  </r>
  <r>
    <x v="14"/>
    <x v="1"/>
    <n v="1842"/>
    <n v="414"/>
    <n v="307524"/>
    <n v="1.76"/>
    <n v="40478"/>
    <n v="1428"/>
    <n v="0.46435400163889645"/>
  </r>
  <r>
    <x v="14"/>
    <x v="2"/>
    <n v="751"/>
    <n v="491"/>
    <n v="434047"/>
    <n v="9.24"/>
    <n v="15476"/>
    <n v="260"/>
    <n v="5.990134708914012E-2"/>
  </r>
  <r>
    <x v="14"/>
    <x v="3"/>
    <n v="1409"/>
    <n v="309"/>
    <n v="64583"/>
    <n v="8.99"/>
    <n v="10217"/>
    <n v="1100"/>
    <n v="1.703234597339857"/>
  </r>
  <r>
    <x v="15"/>
    <x v="0"/>
    <n v="778"/>
    <n v="401"/>
    <n v="50793"/>
    <n v="3.4"/>
    <n v="21939"/>
    <n v="377"/>
    <n v="0.74222825979957874"/>
  </r>
  <r>
    <x v="15"/>
    <x v="1"/>
    <n v="443"/>
    <n v="345"/>
    <n v="474162"/>
    <n v="9.1999999999999993"/>
    <n v="47462"/>
    <n v="98"/>
    <n v="2.0668041724136478E-2"/>
  </r>
  <r>
    <x v="15"/>
    <x v="2"/>
    <n v="1472"/>
    <n v="347"/>
    <n v="392355"/>
    <n v="8.59"/>
    <n v="30270"/>
    <n v="1125"/>
    <n v="0.2867301296020186"/>
  </r>
  <r>
    <x v="15"/>
    <x v="3"/>
    <n v="123"/>
    <n v="155"/>
    <n v="119934"/>
    <n v="3.5"/>
    <n v="5442"/>
    <n v="-32"/>
    <n v="-2.6681341404439108E-2"/>
  </r>
  <r>
    <x v="16"/>
    <x v="0"/>
    <n v="817"/>
    <n v="151"/>
    <n v="422625"/>
    <n v="2.36"/>
    <n v="1083"/>
    <n v="666"/>
    <n v="0.15758651286601597"/>
  </r>
  <r>
    <x v="16"/>
    <x v="1"/>
    <n v="198"/>
    <n v="217"/>
    <n v="239753"/>
    <n v="7.36"/>
    <n v="11901"/>
    <n v="-19"/>
    <n v="-7.924822629956663E-3"/>
  </r>
  <r>
    <x v="16"/>
    <x v="2"/>
    <n v="1911"/>
    <n v="231"/>
    <n v="268516"/>
    <n v="8.5500000000000007"/>
    <n v="24018"/>
    <n v="1680"/>
    <n v="0.62566104068286432"/>
  </r>
  <r>
    <x v="16"/>
    <x v="3"/>
    <n v="1218"/>
    <n v="212"/>
    <n v="63177"/>
    <n v="8.1300000000000008"/>
    <n v="38883"/>
    <n v="1006"/>
    <n v="1.592351646960128"/>
  </r>
  <r>
    <x v="17"/>
    <x v="0"/>
    <n v="1433"/>
    <n v="408"/>
    <n v="370269"/>
    <n v="3.3"/>
    <n v="30575"/>
    <n v="1025"/>
    <n v="0.27682576721248608"/>
  </r>
  <r>
    <x v="17"/>
    <x v="1"/>
    <n v="250"/>
    <n v="429"/>
    <n v="453423"/>
    <n v="1.77"/>
    <n v="2315"/>
    <n v="-179"/>
    <n v="-3.9477485703195474E-2"/>
  </r>
  <r>
    <x v="17"/>
    <x v="2"/>
    <n v="752"/>
    <n v="153"/>
    <n v="64906"/>
    <n v="2.09"/>
    <n v="12148"/>
    <n v="599"/>
    <n v="0.92287307798970819"/>
  </r>
  <r>
    <x v="17"/>
    <x v="3"/>
    <n v="1918"/>
    <n v="212"/>
    <n v="94360"/>
    <n v="7.36"/>
    <n v="36851"/>
    <n v="1706"/>
    <n v="1.8079694785926241"/>
  </r>
  <r>
    <x v="18"/>
    <x v="0"/>
    <n v="1939"/>
    <n v="67"/>
    <n v="187183"/>
    <n v="6.25"/>
    <n v="41215"/>
    <n v="1872"/>
    <n v="1.000090820213374"/>
  </r>
  <r>
    <x v="18"/>
    <x v="1"/>
    <n v="1929"/>
    <n v="267"/>
    <n v="379363"/>
    <n v="1.75"/>
    <n v="43836"/>
    <n v="1662"/>
    <n v="0.43810281972675247"/>
  </r>
  <r>
    <x v="18"/>
    <x v="2"/>
    <n v="437"/>
    <n v="330"/>
    <n v="476486"/>
    <n v="4.97"/>
    <n v="4509"/>
    <n v="107"/>
    <n v="2.2456063766826309E-2"/>
  </r>
  <r>
    <x v="18"/>
    <x v="3"/>
    <n v="307"/>
    <n v="189"/>
    <n v="117767"/>
    <n v="9.3000000000000007"/>
    <n v="27822"/>
    <n v="118"/>
    <n v="0.10019784829366461"/>
  </r>
  <r>
    <x v="19"/>
    <x v="0"/>
    <n v="1527"/>
    <n v="303"/>
    <n v="388555"/>
    <n v="8.9"/>
    <n v="36397"/>
    <n v="1224"/>
    <n v="0.31501331857780751"/>
  </r>
  <r>
    <x v="19"/>
    <x v="1"/>
    <n v="643"/>
    <n v="358"/>
    <n v="157599"/>
    <n v="3.88"/>
    <n v="7285"/>
    <n v="285"/>
    <n v="0.18083871090552606"/>
  </r>
  <r>
    <x v="19"/>
    <x v="2"/>
    <n v="201"/>
    <n v="221"/>
    <n v="309772"/>
    <n v="5.9"/>
    <n v="33174"/>
    <n v="-20"/>
    <n v="-6.4563614529395824E-3"/>
  </r>
  <r>
    <x v="19"/>
    <x v="3"/>
    <n v="414"/>
    <n v="47"/>
    <n v="199178"/>
    <n v="1.53"/>
    <n v="6742"/>
    <n v="367"/>
    <n v="0.18425729749269498"/>
  </r>
  <r>
    <x v="20"/>
    <x v="0"/>
    <n v="703"/>
    <n v="441"/>
    <n v="357089"/>
    <n v="6.5"/>
    <n v="32478"/>
    <n v="262"/>
    <n v="7.3371064356504964E-2"/>
  </r>
  <r>
    <x v="20"/>
    <x v="1"/>
    <n v="508"/>
    <n v="69"/>
    <n v="23492"/>
    <n v="3.16"/>
    <n v="42824"/>
    <n v="439"/>
    <n v="1.8687212668142346"/>
  </r>
  <r>
    <x v="20"/>
    <x v="2"/>
    <n v="697"/>
    <n v="61"/>
    <n v="258287"/>
    <n v="8.25"/>
    <n v="21208"/>
    <n v="636"/>
    <n v="0.24623771231227276"/>
  </r>
  <r>
    <x v="20"/>
    <x v="3"/>
    <n v="1707"/>
    <n v="223"/>
    <n v="256910"/>
    <n v="5.41"/>
    <n v="44321"/>
    <n v="1484"/>
    <n v="0.57763419096181545"/>
  </r>
  <r>
    <x v="21"/>
    <x v="0"/>
    <n v="642"/>
    <n v="66"/>
    <n v="346522"/>
    <n v="5.85"/>
    <n v="13116"/>
    <n v="576"/>
    <n v="0.166223212379012"/>
  </r>
  <r>
    <x v="21"/>
    <x v="1"/>
    <n v="859"/>
    <n v="473"/>
    <n v="209987"/>
    <n v="4.46"/>
    <n v="30214"/>
    <n v="386"/>
    <n v="0.18382090319876945"/>
  </r>
  <r>
    <x v="21"/>
    <x v="2"/>
    <n v="191"/>
    <n v="154"/>
    <n v="240550"/>
    <n v="5.22"/>
    <n v="15827"/>
    <n v="37"/>
    <n v="1.5381417584701726E-2"/>
  </r>
  <r>
    <x v="21"/>
    <x v="3"/>
    <n v="1814"/>
    <n v="157"/>
    <n v="305827"/>
    <n v="1.99"/>
    <n v="46643"/>
    <n v="1657"/>
    <n v="0.54180958515762179"/>
  </r>
  <r>
    <x v="22"/>
    <x v="0"/>
    <n v="1466"/>
    <n v="69"/>
    <n v="54935"/>
    <n v="6.85"/>
    <n v="36484"/>
    <n v="1397"/>
    <n v="2.5430053699827071"/>
  </r>
  <r>
    <x v="22"/>
    <x v="1"/>
    <n v="947"/>
    <n v="407"/>
    <n v="319186"/>
    <n v="3.32"/>
    <n v="4996"/>
    <n v="540"/>
    <n v="0.16918035252172714"/>
  </r>
  <r>
    <x v="22"/>
    <x v="2"/>
    <n v="1821"/>
    <n v="218"/>
    <n v="439080"/>
    <n v="5.68"/>
    <n v="36095"/>
    <n v="1603"/>
    <n v="0.36508153411678962"/>
  </r>
  <r>
    <x v="22"/>
    <x v="3"/>
    <n v="1507"/>
    <n v="463"/>
    <n v="258944"/>
    <n v="6.08"/>
    <n v="16443"/>
    <n v="1044"/>
    <n v="0.40317597627286211"/>
  </r>
  <r>
    <x v="23"/>
    <x v="0"/>
    <n v="1075"/>
    <n v="173"/>
    <n v="51395"/>
    <n v="4.66"/>
    <n v="47812"/>
    <n v="902"/>
    <n v="1.7550345364335054"/>
  </r>
  <r>
    <x v="23"/>
    <x v="1"/>
    <n v="171"/>
    <n v="277"/>
    <n v="309483"/>
    <n v="8.6999999999999993"/>
    <n v="38452"/>
    <n v="-106"/>
    <n v="-3.4250669665215859E-2"/>
  </r>
  <r>
    <x v="23"/>
    <x v="2"/>
    <n v="1487"/>
    <n v="337"/>
    <n v="87305"/>
    <n v="2.46"/>
    <n v="30428"/>
    <n v="1150"/>
    <n v="1.3172212358971422"/>
  </r>
  <r>
    <x v="23"/>
    <x v="3"/>
    <n v="454"/>
    <n v="105"/>
    <n v="121091"/>
    <n v="7.97"/>
    <n v="9269"/>
    <n v="349"/>
    <n v="0.28821299683708945"/>
  </r>
  <r>
    <x v="24"/>
    <x v="0"/>
    <n v="187"/>
    <n v="236"/>
    <n v="51087"/>
    <n v="9.41"/>
    <n v="29533"/>
    <n v="-49"/>
    <n v="-9.5914811987394058E-2"/>
  </r>
  <r>
    <x v="24"/>
    <x v="1"/>
    <n v="513"/>
    <n v="441"/>
    <n v="338847"/>
    <n v="2.68"/>
    <n v="39997"/>
    <n v="72"/>
    <n v="2.124852809675163E-2"/>
  </r>
  <r>
    <x v="24"/>
    <x v="2"/>
    <n v="628"/>
    <n v="183"/>
    <n v="487523"/>
    <n v="7.32"/>
    <n v="5391"/>
    <n v="445"/>
    <n v="9.1277744844858608E-2"/>
  </r>
  <r>
    <x v="24"/>
    <x v="3"/>
    <n v="278"/>
    <n v="218"/>
    <n v="301695"/>
    <n v="4.68"/>
    <n v="22373"/>
    <n v="60"/>
    <n v="1.9887634863023914E-2"/>
  </r>
  <r>
    <x v="25"/>
    <x v="0"/>
    <n v="1854"/>
    <n v="161"/>
    <n v="282466"/>
    <n v="5.17"/>
    <n v="1810"/>
    <n v="1693"/>
    <n v="0.59936417126309005"/>
  </r>
  <r>
    <x v="25"/>
    <x v="1"/>
    <n v="1710"/>
    <n v="378"/>
    <n v="336661"/>
    <n v="6.2"/>
    <n v="28498"/>
    <n v="1332"/>
    <n v="0.39565022381564841"/>
  </r>
  <r>
    <x v="25"/>
    <x v="2"/>
    <n v="330"/>
    <n v="232"/>
    <n v="88455"/>
    <n v="2.69"/>
    <n v="39530"/>
    <n v="98"/>
    <n v="0.11079079758069074"/>
  </r>
  <r>
    <x v="25"/>
    <x v="3"/>
    <n v="1293"/>
    <n v="408"/>
    <n v="62535"/>
    <n v="8.9"/>
    <n v="37876"/>
    <n v="885"/>
    <n v="1.4152074838090669"/>
  </r>
  <r>
    <x v="26"/>
    <x v="0"/>
    <n v="1696"/>
    <n v="71"/>
    <n v="421957"/>
    <n v="3.79"/>
    <n v="36103"/>
    <n v="1625"/>
    <n v="0.38511033114748661"/>
  </r>
  <r>
    <x v="26"/>
    <x v="1"/>
    <n v="1902"/>
    <n v="196"/>
    <n v="470269"/>
    <n v="4.79"/>
    <n v="26103"/>
    <n v="1706"/>
    <n v="0.36277109484146308"/>
  </r>
  <r>
    <x v="26"/>
    <x v="2"/>
    <n v="1441"/>
    <n v="268"/>
    <n v="309904"/>
    <n v="6.37"/>
    <n v="3455"/>
    <n v="1173"/>
    <n v="0.37850431101244258"/>
  </r>
  <r>
    <x v="26"/>
    <x v="3"/>
    <n v="452"/>
    <n v="161"/>
    <n v="221274"/>
    <n v="2.65"/>
    <n v="40888"/>
    <n v="291"/>
    <n v="0.13151115811166245"/>
  </r>
  <r>
    <x v="27"/>
    <x v="0"/>
    <n v="1494"/>
    <n v="375"/>
    <n v="220616"/>
    <n v="1.81"/>
    <n v="22724"/>
    <n v="1119"/>
    <n v="0.5072161583928636"/>
  </r>
  <r>
    <x v="27"/>
    <x v="1"/>
    <n v="1514"/>
    <n v="141"/>
    <n v="35842"/>
    <n v="7.47"/>
    <n v="18601"/>
    <n v="1373"/>
    <n v="3.8307014117515763"/>
  </r>
  <r>
    <x v="27"/>
    <x v="2"/>
    <n v="1937"/>
    <n v="210"/>
    <n v="20607"/>
    <n v="4.2"/>
    <n v="20861"/>
    <n v="1727"/>
    <n v="8.3806473528412688"/>
  </r>
  <r>
    <x v="27"/>
    <x v="3"/>
    <n v="736"/>
    <n v="163"/>
    <n v="451894"/>
    <n v="5.43"/>
    <n v="46625"/>
    <n v="573"/>
    <n v="0.12679964770499277"/>
  </r>
  <r>
    <x v="28"/>
    <x v="0"/>
    <n v="1502"/>
    <n v="70"/>
    <n v="465553"/>
    <n v="3.32"/>
    <n v="20692"/>
    <n v="1432"/>
    <n v="0.30759118725472717"/>
  </r>
  <r>
    <x v="28"/>
    <x v="1"/>
    <n v="1623"/>
    <n v="246"/>
    <n v="415815"/>
    <n v="8.11"/>
    <n v="18656"/>
    <n v="1377"/>
    <n v="0.33115688467227011"/>
  </r>
  <r>
    <x v="28"/>
    <x v="2"/>
    <n v="1592"/>
    <n v="233"/>
    <n v="327183"/>
    <n v="6.66"/>
    <n v="13316"/>
    <n v="1359"/>
    <n v="0.41536387893013998"/>
  </r>
  <r>
    <x v="28"/>
    <x v="3"/>
    <n v="1004"/>
    <n v="128"/>
    <n v="488901"/>
    <n v="8.09"/>
    <n v="49558"/>
    <n v="876"/>
    <n v="0.17917737946946316"/>
  </r>
  <r>
    <x v="29"/>
    <x v="0"/>
    <n v="1092"/>
    <n v="408"/>
    <n v="280795"/>
    <n v="8.44"/>
    <n v="4683"/>
    <n v="684"/>
    <n v="0.24359408109118752"/>
  </r>
  <r>
    <x v="29"/>
    <x v="1"/>
    <n v="1155"/>
    <n v="425"/>
    <n v="93347"/>
    <n v="2.02"/>
    <n v="47502"/>
    <n v="730"/>
    <n v="0.78202834584935776"/>
  </r>
  <r>
    <x v="29"/>
    <x v="2"/>
    <n v="1137"/>
    <n v="226"/>
    <n v="81119"/>
    <n v="7.74"/>
    <n v="35359"/>
    <n v="911"/>
    <n v="1.123041457611657"/>
  </r>
  <r>
    <x v="29"/>
    <x v="3"/>
    <n v="1900"/>
    <n v="311"/>
    <n v="25177"/>
    <n v="2.89"/>
    <n v="14154"/>
    <n v="1589"/>
    <n v="6.3113158835445047"/>
  </r>
  <r>
    <x v="30"/>
    <x v="0"/>
    <n v="1814"/>
    <n v="49"/>
    <n v="140804"/>
    <n v="1.76"/>
    <n v="4313"/>
    <n v="1765"/>
    <n v="1.2535155251271271"/>
  </r>
  <r>
    <x v="30"/>
    <x v="1"/>
    <n v="1980"/>
    <n v="204"/>
    <n v="379431"/>
    <n v="3.09"/>
    <n v="25140"/>
    <n v="1776"/>
    <n v="0.46806929323118035"/>
  </r>
  <r>
    <x v="30"/>
    <x v="2"/>
    <n v="1786"/>
    <n v="257"/>
    <n v="274831"/>
    <n v="4.68"/>
    <n v="9118"/>
    <n v="1529"/>
    <n v="0.55634189738421069"/>
  </r>
  <r>
    <x v="30"/>
    <x v="3"/>
    <n v="1495"/>
    <n v="35"/>
    <n v="136845"/>
    <n v="4.4800000000000004"/>
    <n v="39931"/>
    <n v="1460"/>
    <n v="1.0669005078738718"/>
  </r>
  <r>
    <x v="31"/>
    <x v="0"/>
    <n v="1013"/>
    <n v="110"/>
    <n v="466382"/>
    <n v="5.3"/>
    <n v="37132"/>
    <n v="903"/>
    <n v="0.19361810704529764"/>
  </r>
  <r>
    <x v="31"/>
    <x v="1"/>
    <n v="816"/>
    <n v="196"/>
    <n v="95728"/>
    <n v="8.1999999999999993"/>
    <n v="17951"/>
    <n v="620"/>
    <n v="0.64766839378238339"/>
  </r>
  <r>
    <x v="31"/>
    <x v="2"/>
    <n v="1633"/>
    <n v="445"/>
    <n v="371156"/>
    <n v="2.2200000000000002"/>
    <n v="2798"/>
    <n v="1188"/>
    <n v="0.32008104408927779"/>
  </r>
  <r>
    <x v="31"/>
    <x v="3"/>
    <n v="891"/>
    <n v="45"/>
    <n v="95410"/>
    <n v="8.33"/>
    <n v="15045"/>
    <n v="846"/>
    <n v="0.88669950738916259"/>
  </r>
  <r>
    <x v="32"/>
    <x v="0"/>
    <n v="1855"/>
    <n v="133"/>
    <n v="349413"/>
    <n v="3.3"/>
    <n v="14548"/>
    <n v="1722"/>
    <n v="0.49282654051223052"/>
  </r>
  <r>
    <x v="32"/>
    <x v="1"/>
    <n v="651"/>
    <n v="353"/>
    <n v="224699"/>
    <n v="5.61"/>
    <n v="45708"/>
    <n v="298"/>
    <n v="0.13262186302564766"/>
  </r>
  <r>
    <x v="32"/>
    <x v="2"/>
    <n v="118"/>
    <n v="262"/>
    <n v="487896"/>
    <n v="2.56"/>
    <n v="12350"/>
    <n v="-144"/>
    <n v="-2.9514486693885584E-2"/>
  </r>
  <r>
    <x v="32"/>
    <x v="3"/>
    <n v="1331"/>
    <n v="430"/>
    <n v="14437"/>
    <n v="3.29"/>
    <n v="40868"/>
    <n v="901"/>
    <n v="6.2409087760615085"/>
  </r>
  <r>
    <x v="33"/>
    <x v="0"/>
    <n v="1748"/>
    <n v="176"/>
    <n v="383681"/>
    <n v="9.24"/>
    <n v="43122"/>
    <n v="1572"/>
    <n v="0.40971536250166152"/>
  </r>
  <r>
    <x v="33"/>
    <x v="1"/>
    <n v="663"/>
    <n v="236"/>
    <n v="479490"/>
    <n v="4.51"/>
    <n v="23853"/>
    <n v="427"/>
    <n v="8.905295209493419E-2"/>
  </r>
  <r>
    <x v="33"/>
    <x v="2"/>
    <n v="1040"/>
    <n v="149"/>
    <n v="124404"/>
    <n v="5.23"/>
    <n v="45380"/>
    <n v="891"/>
    <n v="0.71621491270377158"/>
  </r>
  <r>
    <x v="33"/>
    <x v="3"/>
    <n v="1166"/>
    <n v="442"/>
    <n v="336949"/>
    <n v="4.68"/>
    <n v="7705"/>
    <n v="724"/>
    <n v="0.2148693125665902"/>
  </r>
  <r>
    <x v="34"/>
    <x v="0"/>
    <n v="115"/>
    <n v="281"/>
    <n v="357265"/>
    <n v="9.23"/>
    <n v="25525"/>
    <n v="-166"/>
    <n v="-4.6464109274628081E-2"/>
  </r>
  <r>
    <x v="34"/>
    <x v="1"/>
    <n v="1249"/>
    <n v="351"/>
    <n v="321307"/>
    <n v="6.37"/>
    <n v="20560"/>
    <n v="898"/>
    <n v="0.27948348464241363"/>
  </r>
  <r>
    <x v="34"/>
    <x v="2"/>
    <n v="1501"/>
    <n v="75"/>
    <n v="262569"/>
    <n v="2.0099999999999998"/>
    <n v="19119"/>
    <n v="1426"/>
    <n v="0.54309533874905258"/>
  </r>
  <r>
    <x v="34"/>
    <x v="3"/>
    <n v="1411"/>
    <n v="186"/>
    <n v="461669"/>
    <n v="3.72"/>
    <n v="43999"/>
    <n v="1225"/>
    <n v="0.26534161921203286"/>
  </r>
  <r>
    <x v="35"/>
    <x v="0"/>
    <n v="1556"/>
    <n v="476"/>
    <n v="351556"/>
    <n v="3.89"/>
    <n v="10825"/>
    <n v="1080"/>
    <n v="0.30720567989168157"/>
  </r>
  <r>
    <x v="35"/>
    <x v="1"/>
    <n v="1159"/>
    <n v="411"/>
    <n v="135987"/>
    <n v="8.6999999999999993"/>
    <n v="40323"/>
    <n v="748"/>
    <n v="0.5500525785553031"/>
  </r>
  <r>
    <x v="35"/>
    <x v="2"/>
    <n v="927"/>
    <n v="358"/>
    <n v="177554"/>
    <n v="6.95"/>
    <n v="48270"/>
    <n v="569"/>
    <n v="0.32046588643454949"/>
  </r>
  <r>
    <x v="35"/>
    <x v="3"/>
    <n v="152"/>
    <n v="355"/>
    <n v="270766"/>
    <n v="9.48"/>
    <n v="18001"/>
    <n v="-203"/>
    <n v="-7.4972485467156139E-2"/>
  </r>
  <r>
    <x v="36"/>
    <x v="0"/>
    <n v="1957"/>
    <n v="234"/>
    <n v="222126"/>
    <n v="4.6100000000000003"/>
    <n v="3314"/>
    <n v="1723"/>
    <n v="0.77568587198256844"/>
  </r>
  <r>
    <x v="36"/>
    <x v="1"/>
    <n v="1294"/>
    <n v="382"/>
    <n v="309914"/>
    <n v="8.0299999999999994"/>
    <n v="23489"/>
    <n v="912"/>
    <n v="0.29427518601934727"/>
  </r>
  <r>
    <x v="36"/>
    <x v="2"/>
    <n v="1587"/>
    <n v="385"/>
    <n v="126582"/>
    <n v="6.99"/>
    <n v="42832"/>
    <n v="1202"/>
    <n v="0.94958208908059605"/>
  </r>
  <r>
    <x v="36"/>
    <x v="3"/>
    <n v="1707"/>
    <n v="263"/>
    <n v="485280"/>
    <n v="9.0299999999999994"/>
    <n v="24494"/>
    <n v="1444"/>
    <n v="0.29756017144741181"/>
  </r>
  <r>
    <x v="37"/>
    <x v="0"/>
    <n v="1138"/>
    <n v="173"/>
    <n v="453243"/>
    <n v="2.86"/>
    <n v="44097"/>
    <n v="965"/>
    <n v="0.21291007252180397"/>
  </r>
  <r>
    <x v="37"/>
    <x v="1"/>
    <n v="1895"/>
    <n v="305"/>
    <n v="104967"/>
    <n v="3.85"/>
    <n v="31853"/>
    <n v="1590"/>
    <n v="1.5147617822744293"/>
  </r>
  <r>
    <x v="37"/>
    <x v="2"/>
    <n v="362"/>
    <n v="399"/>
    <n v="145608"/>
    <n v="7.3"/>
    <n v="37636"/>
    <n v="-37"/>
    <n v="-2.5410691720235155E-2"/>
  </r>
  <r>
    <x v="37"/>
    <x v="3"/>
    <n v="1662"/>
    <n v="487"/>
    <n v="105980"/>
    <n v="9.08"/>
    <n v="22996"/>
    <n v="1175"/>
    <n v="1.1086997546706925"/>
  </r>
  <r>
    <x v="38"/>
    <x v="0"/>
    <n v="1440"/>
    <n v="65"/>
    <n v="126524"/>
    <n v="4.34"/>
    <n v="49772"/>
    <n v="1375"/>
    <n v="1.08675033985647"/>
  </r>
  <r>
    <x v="38"/>
    <x v="1"/>
    <n v="1884"/>
    <n v="177"/>
    <n v="230448"/>
    <n v="7.8"/>
    <n v="22713"/>
    <n v="1707"/>
    <n v="0.74073109768798173"/>
  </r>
  <r>
    <x v="38"/>
    <x v="2"/>
    <n v="861"/>
    <n v="153"/>
    <n v="317007"/>
    <n v="3.85"/>
    <n v="8718"/>
    <n v="708"/>
    <n v="0.22333891680625351"/>
  </r>
  <r>
    <x v="38"/>
    <x v="3"/>
    <n v="1063"/>
    <n v="47"/>
    <n v="464239"/>
    <n v="6.58"/>
    <n v="39031"/>
    <n v="1016"/>
    <n v="0.21885278918832757"/>
  </r>
  <r>
    <x v="39"/>
    <x v="0"/>
    <n v="1371"/>
    <n v="56"/>
    <n v="257579"/>
    <n v="8.6199999999999992"/>
    <n v="33799"/>
    <n v="1315"/>
    <n v="0.51052298518124528"/>
  </r>
  <r>
    <x v="39"/>
    <x v="1"/>
    <n v="345"/>
    <n v="464"/>
    <n v="366881"/>
    <n v="4.55"/>
    <n v="20553"/>
    <n v="-119"/>
    <n v="-3.2435585380545737E-2"/>
  </r>
  <r>
    <x v="39"/>
    <x v="2"/>
    <n v="946"/>
    <n v="47"/>
    <n v="466575"/>
    <n v="8.33"/>
    <n v="10002"/>
    <n v="899"/>
    <n v="0.19268070513850935"/>
  </r>
  <r>
    <x v="39"/>
    <x v="3"/>
    <n v="510"/>
    <n v="195"/>
    <n v="224534"/>
    <n v="9.4"/>
    <n v="30987"/>
    <n v="315"/>
    <n v="0.14029055733207443"/>
  </r>
  <r>
    <x v="40"/>
    <x v="0"/>
    <n v="393"/>
    <n v="181"/>
    <n v="462142"/>
    <n v="7.23"/>
    <n v="6296"/>
    <n v="212"/>
    <n v="4.5873346287504703E-2"/>
  </r>
  <r>
    <x v="40"/>
    <x v="1"/>
    <n v="1098"/>
    <n v="190"/>
    <n v="340842"/>
    <n v="9.39"/>
    <n v="21539"/>
    <n v="908"/>
    <n v="0.26639909400836753"/>
  </r>
  <r>
    <x v="40"/>
    <x v="2"/>
    <n v="1399"/>
    <n v="49"/>
    <n v="12471"/>
    <n v="5.12"/>
    <n v="14722"/>
    <n v="1350"/>
    <n v="10.825114265095021"/>
  </r>
  <r>
    <x v="40"/>
    <x v="3"/>
    <n v="1658"/>
    <n v="416"/>
    <n v="98397"/>
    <n v="6.11"/>
    <n v="11383"/>
    <n v="1242"/>
    <n v="1.2622336046830696"/>
  </r>
  <r>
    <x v="41"/>
    <x v="0"/>
    <n v="1102"/>
    <n v="422"/>
    <n v="410330"/>
    <n v="7.74"/>
    <n v="9480"/>
    <n v="680"/>
    <n v="0.16572027392586453"/>
  </r>
  <r>
    <x v="41"/>
    <x v="1"/>
    <n v="1358"/>
    <n v="242"/>
    <n v="342129"/>
    <n v="4.9400000000000004"/>
    <n v="29116"/>
    <n v="1116"/>
    <n v="0.32619275185675578"/>
  </r>
  <r>
    <x v="41"/>
    <x v="2"/>
    <n v="1077"/>
    <n v="216"/>
    <n v="12447"/>
    <n v="1.8"/>
    <n v="14068"/>
    <n v="861"/>
    <n v="6.9173294769824052"/>
  </r>
  <r>
    <x v="41"/>
    <x v="3"/>
    <n v="1596"/>
    <n v="211"/>
    <n v="17380"/>
    <n v="8.64"/>
    <n v="35801"/>
    <n v="1385"/>
    <n v="7.9689298043728432"/>
  </r>
  <r>
    <x v="42"/>
    <x v="0"/>
    <n v="490"/>
    <n v="29"/>
    <n v="364810"/>
    <n v="1.53"/>
    <n v="49077"/>
    <n v="461"/>
    <n v="0.12636715002329982"/>
  </r>
  <r>
    <x v="42"/>
    <x v="1"/>
    <n v="609"/>
    <n v="135"/>
    <n v="373606"/>
    <n v="8.52"/>
    <n v="21453"/>
    <n v="474"/>
    <n v="0.1268716241173857"/>
  </r>
  <r>
    <x v="42"/>
    <x v="2"/>
    <n v="364"/>
    <n v="72"/>
    <n v="211090"/>
    <n v="5.53"/>
    <n v="21061"/>
    <n v="292"/>
    <n v="0.13832962243592781"/>
  </r>
  <r>
    <x v="42"/>
    <x v="3"/>
    <n v="442"/>
    <n v="53"/>
    <n v="441931"/>
    <n v="1.87"/>
    <n v="20059"/>
    <n v="389"/>
    <n v="8.8022790888170319E-2"/>
  </r>
  <r>
    <x v="43"/>
    <x v="0"/>
    <n v="1033"/>
    <n v="392"/>
    <n v="282780"/>
    <n v="6.27"/>
    <n v="23140"/>
    <n v="641"/>
    <n v="0.22667798288422092"/>
  </r>
  <r>
    <x v="43"/>
    <x v="1"/>
    <n v="988"/>
    <n v="474"/>
    <n v="370070"/>
    <n v="9.4600000000000009"/>
    <n v="23461"/>
    <n v="514"/>
    <n v="0.13889264193260734"/>
  </r>
  <r>
    <x v="43"/>
    <x v="2"/>
    <n v="1946"/>
    <n v="270"/>
    <n v="198350"/>
    <n v="7.5"/>
    <n v="11805"/>
    <n v="1676"/>
    <n v="0.84497101083942527"/>
  </r>
  <r>
    <x v="43"/>
    <x v="3"/>
    <n v="1957"/>
    <n v="490"/>
    <n v="435726"/>
    <n v="4.7300000000000004"/>
    <n v="15969"/>
    <n v="1467"/>
    <n v="0.33667947287974553"/>
  </r>
  <r>
    <x v="44"/>
    <x v="0"/>
    <n v="559"/>
    <n v="392"/>
    <n v="78789"/>
    <n v="3.19"/>
    <n v="2436"/>
    <n v="167"/>
    <n v="0.21195852212872357"/>
  </r>
  <r>
    <x v="44"/>
    <x v="1"/>
    <n v="1307"/>
    <n v="278"/>
    <n v="98596"/>
    <n v="2.4900000000000002"/>
    <n v="47603"/>
    <n v="1029"/>
    <n v="1.0436528865268369"/>
  </r>
  <r>
    <x v="44"/>
    <x v="2"/>
    <n v="1432"/>
    <n v="425"/>
    <n v="29589"/>
    <n v="4.5"/>
    <n v="42964"/>
    <n v="1007"/>
    <n v="3.4032917638311533"/>
  </r>
  <r>
    <x v="44"/>
    <x v="3"/>
    <n v="623"/>
    <n v="414"/>
    <n v="290354"/>
    <n v="6.49"/>
    <n v="39923"/>
    <n v="209"/>
    <n v="7.1981098934404214E-2"/>
  </r>
  <r>
    <x v="45"/>
    <x v="0"/>
    <n v="198"/>
    <n v="358"/>
    <n v="66682"/>
    <n v="6.73"/>
    <n v="2293"/>
    <n v="-160"/>
    <n v="-0.2399448126930806"/>
  </r>
  <r>
    <x v="45"/>
    <x v="1"/>
    <n v="198"/>
    <n v="373"/>
    <n v="70707"/>
    <n v="4.83"/>
    <n v="25920"/>
    <n v="-175"/>
    <n v="-0.24750024750024749"/>
  </r>
  <r>
    <x v="45"/>
    <x v="2"/>
    <n v="353"/>
    <n v="300"/>
    <n v="142507"/>
    <n v="5.3"/>
    <n v="11035"/>
    <n v="53"/>
    <n v="3.7191155522184875E-2"/>
  </r>
  <r>
    <x v="45"/>
    <x v="3"/>
    <n v="520"/>
    <n v="375"/>
    <n v="369525"/>
    <n v="6.54"/>
    <n v="20733"/>
    <n v="145"/>
    <n v="3.9239564305527365E-2"/>
  </r>
  <r>
    <x v="46"/>
    <x v="0"/>
    <n v="961"/>
    <n v="358"/>
    <n v="62942"/>
    <n v="6.8"/>
    <n v="18693"/>
    <n v="603"/>
    <n v="0.95802484827301337"/>
  </r>
  <r>
    <x v="46"/>
    <x v="1"/>
    <n v="1375"/>
    <n v="330"/>
    <n v="377382"/>
    <n v="2.6"/>
    <n v="7875"/>
    <n v="1045"/>
    <n v="0.27690774864725926"/>
  </r>
  <r>
    <x v="46"/>
    <x v="2"/>
    <n v="1147"/>
    <n v="388"/>
    <n v="333851"/>
    <n v="2.44"/>
    <n v="8471"/>
    <n v="759"/>
    <n v="0.22734693021737243"/>
  </r>
  <r>
    <x v="46"/>
    <x v="3"/>
    <n v="1707"/>
    <n v="74"/>
    <n v="270958"/>
    <n v="3.09"/>
    <n v="14090"/>
    <n v="1633"/>
    <n v="0.60267642955734835"/>
  </r>
  <r>
    <x v="47"/>
    <x v="0"/>
    <n v="1693"/>
    <n v="154"/>
    <n v="445944"/>
    <n v="5.69"/>
    <n v="14216"/>
    <n v="1539"/>
    <n v="0.34511059684624079"/>
  </r>
  <r>
    <x v="47"/>
    <x v="1"/>
    <n v="833"/>
    <n v="380"/>
    <n v="224830"/>
    <n v="3.86"/>
    <n v="3582"/>
    <n v="453"/>
    <n v="0.2014855668727483"/>
  </r>
  <r>
    <x v="47"/>
    <x v="2"/>
    <n v="1222"/>
    <n v="274"/>
    <n v="487289"/>
    <n v="3.16"/>
    <n v="32500"/>
    <n v="948"/>
    <n v="0.19454574184929271"/>
  </r>
  <r>
    <x v="47"/>
    <x v="3"/>
    <n v="777"/>
    <n v="140"/>
    <n v="11435"/>
    <n v="1.6"/>
    <n v="6832"/>
    <n v="637"/>
    <n v="5.5706165282028861"/>
  </r>
  <r>
    <x v="48"/>
    <x v="0"/>
    <n v="1957"/>
    <n v="76"/>
    <n v="447902"/>
    <n v="6.09"/>
    <n v="33381"/>
    <n v="1881"/>
    <n v="0.41995793722733987"/>
  </r>
  <r>
    <x v="48"/>
    <x v="1"/>
    <n v="405"/>
    <n v="66"/>
    <n v="418696"/>
    <n v="5.59"/>
    <n v="48419"/>
    <n v="339"/>
    <n v="8.0965664826031306E-2"/>
  </r>
  <r>
    <x v="48"/>
    <x v="2"/>
    <n v="1581"/>
    <n v="71"/>
    <n v="484364"/>
    <n v="3.55"/>
    <n v="16149"/>
    <n v="1510"/>
    <n v="0.311749015203442"/>
  </r>
  <r>
    <x v="48"/>
    <x v="3"/>
    <n v="1035"/>
    <n v="171"/>
    <n v="148477"/>
    <n v="5.21"/>
    <n v="7541"/>
    <n v="864"/>
    <n v="0.58190830903102841"/>
  </r>
  <r>
    <x v="49"/>
    <x v="0"/>
    <n v="1765"/>
    <n v="109"/>
    <n v="468301"/>
    <n v="1.82"/>
    <n v="20042"/>
    <n v="1656"/>
    <n v="0.35361871958419905"/>
  </r>
  <r>
    <x v="49"/>
    <x v="1"/>
    <n v="837"/>
    <n v="430"/>
    <n v="364820"/>
    <n v="4"/>
    <n v="49400"/>
    <n v="407"/>
    <n v="0.11156186612576065"/>
  </r>
  <r>
    <x v="49"/>
    <x v="2"/>
    <n v="337"/>
    <n v="68"/>
    <n v="456298"/>
    <n v="7.57"/>
    <n v="4007"/>
    <n v="269"/>
    <n v="5.8952701962314107E-2"/>
  </r>
  <r>
    <x v="49"/>
    <x v="3"/>
    <n v="119"/>
    <n v="456"/>
    <n v="82558"/>
    <n v="6.81"/>
    <n v="12174"/>
    <n v="-337"/>
    <n v="-0.408197873010489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Video"/>
    <s v="Check out our latest video on twitter!"/>
    <n v="4886"/>
    <n v="983"/>
    <n v="409"/>
    <n v="43974"/>
    <n v="5869.0093009505617"/>
    <n v="6278"/>
    <n v="43239"/>
    <n v="65"/>
    <s v="#PepsiCoRefresh"/>
    <m/>
    <m/>
    <x v="0"/>
    <n v="107"/>
    <s v="SummerSplash"/>
  </r>
  <r>
    <s v="Story"/>
    <s v="Check out our latest story on youtube!"/>
    <n v="4929"/>
    <n v="749"/>
    <n v="452"/>
    <n v="93651"/>
    <n v="5678.0048264300431"/>
    <n v="6130"/>
    <n v="92810"/>
    <n v="66"/>
    <s v="#ThirstyForMore"/>
    <m/>
    <m/>
    <x v="1"/>
    <n v="102"/>
    <s v="DailyWellness"/>
  </r>
  <r>
    <s v="Text"/>
    <s v="Check out our latest text on youtube!"/>
    <n v="4934"/>
    <n v="971"/>
    <n v="156"/>
    <n v="39472"/>
    <n v="5905.0039521686258"/>
    <n v="6061"/>
    <n v="39025"/>
    <n v="169"/>
    <s v="#PepsiCoRefresh"/>
    <s v="#AnytimeIsPepsiTime"/>
    <m/>
    <x v="2"/>
    <n v="103"/>
    <s v="DailyWellness"/>
  </r>
  <r>
    <s v="Image"/>
    <s v="Check out our latest image on instagram!"/>
    <n v="4853"/>
    <n v="837"/>
    <n v="340"/>
    <n v="72795"/>
    <n v="5690.0046706504563"/>
    <n v="6030"/>
    <n v="72237"/>
    <n v="170"/>
    <s v="#ThirstyForMore"/>
    <m/>
    <m/>
    <x v="3"/>
    <n v="15"/>
    <s v="SummerSplash"/>
  </r>
  <r>
    <s v="Video"/>
    <s v="Check out our latest video on youtube!"/>
    <n v="4661"/>
    <n v="935"/>
    <n v="433"/>
    <n v="23305"/>
    <n v="5596.0185797039258"/>
    <n v="6029"/>
    <n v="22583"/>
    <n v="63"/>
    <s v="#LiveForNow"/>
    <m/>
    <m/>
    <x v="0"/>
    <n v="107"/>
    <s v="NewYearRefresh"/>
  </r>
  <r>
    <s v="Image"/>
    <s v="Check out our latest image on facebook!"/>
    <n v="4872"/>
    <n v="925"/>
    <n v="176"/>
    <n v="82824"/>
    <n v="5797.0021249879264"/>
    <n v="5973"/>
    <n v="82543"/>
    <n v="89"/>
    <s v="#ThirstyForMore"/>
    <m/>
    <m/>
    <x v="1"/>
    <n v="102"/>
    <s v="FestiveRadiance"/>
  </r>
  <r>
    <s v="Image"/>
    <s v="Check out our latest image on instagram!"/>
    <n v="4619"/>
    <n v="821"/>
    <n v="499"/>
    <n v="69285"/>
    <n v="5440.0072021361048"/>
    <n v="5939"/>
    <n v="69141"/>
    <n v="298"/>
    <s v="#PepsiCoRefresh"/>
    <m/>
    <m/>
    <x v="4"/>
    <n v="7"/>
    <s v="DailyWellness"/>
  </r>
  <r>
    <s v="Text"/>
    <s v="Check out our latest text on twitter!"/>
    <n v="4671"/>
    <n v="876"/>
    <n v="366"/>
    <n v="51381"/>
    <n v="5547.0071232556784"/>
    <n v="5913"/>
    <n v="50565"/>
    <n v="245"/>
    <s v="#PepsiCoRefresh"/>
    <m/>
    <m/>
    <x v="5"/>
    <n v="5"/>
    <s v="DailyWellness"/>
  </r>
  <r>
    <s v="Story"/>
    <s v="Check out our latest story on instagram!"/>
    <n v="4808"/>
    <n v="772"/>
    <n v="320"/>
    <n v="72120"/>
    <n v="5580.0044370493624"/>
    <n v="5900"/>
    <n v="71696"/>
    <n v="195"/>
    <s v="#ThirstyForMore"/>
    <m/>
    <m/>
    <x v="6"/>
    <m/>
    <s v="SummerSplash"/>
  </r>
  <r>
    <s v="Image"/>
    <s v="Check out our latest image on youtube!"/>
    <n v="4905"/>
    <n v="845"/>
    <n v="129"/>
    <n v="98100"/>
    <n v="5750.0013149847091"/>
    <n v="5879"/>
    <n v="97772"/>
    <n v="279"/>
    <s v="#PepsiCoRefresh"/>
    <m/>
    <m/>
    <x v="6"/>
    <m/>
    <s v="FestiveRadiance"/>
  </r>
  <r>
    <s v="Carousel"/>
    <s v="Check out our latest carousel on youtube!"/>
    <n v="4780"/>
    <n v="691"/>
    <n v="380"/>
    <n v="86040"/>
    <n v="5471.0044165504414"/>
    <n v="5851"/>
    <n v="85743"/>
    <n v="262"/>
    <s v="#LiveForNow"/>
    <m/>
    <m/>
    <x v="6"/>
    <m/>
    <s v="NewYearRefresh"/>
  </r>
  <r>
    <s v="Carousel"/>
    <s v="Check out our latest carousel on instagram!"/>
    <n v="4799"/>
    <n v="694"/>
    <n v="289"/>
    <n v="43191"/>
    <n v="5493.0066912088168"/>
    <n v="5782"/>
    <n v="42228"/>
    <n v="118"/>
    <s v="#PepsiCoRefresh"/>
    <m/>
    <m/>
    <x v="6"/>
    <m/>
    <m/>
  </r>
  <r>
    <s v="Image"/>
    <s v="Check out our latest image on facebook!"/>
    <n v="4606"/>
    <n v="931"/>
    <n v="230"/>
    <n v="92120"/>
    <n v="5537.0024967433783"/>
    <n v="5767"/>
    <n v="91440"/>
    <n v="56"/>
    <s v="#PepsiCoRefresh"/>
    <m/>
    <m/>
    <x v="6"/>
    <m/>
    <m/>
  </r>
  <r>
    <s v="Image"/>
    <s v="Check out our latest image on youtube!"/>
    <n v="4832"/>
    <n v="893"/>
    <n v="10"/>
    <n v="91808"/>
    <n v="5725.00010892297"/>
    <n v="5735"/>
    <n v="91296"/>
    <n v="182"/>
    <s v="#PepsiCoRefresh"/>
    <m/>
    <m/>
    <x v="6"/>
    <m/>
    <m/>
  </r>
  <r>
    <s v="Reel"/>
    <s v="Check out our latest reel on instagram!"/>
    <n v="4840"/>
    <n v="658"/>
    <n v="211"/>
    <n v="43560"/>
    <n v="5498.00484389348"/>
    <n v="5709"/>
    <n v="43225"/>
    <n v="57"/>
    <s v="#LiveForNow"/>
    <m/>
    <m/>
    <x v="6"/>
    <m/>
    <s v="NewYearRefresh"/>
  </r>
  <r>
    <s v="Text"/>
    <s v="Check out our latest text on instagram!"/>
    <n v="4771"/>
    <n v="818"/>
    <n v="56"/>
    <n v="57252"/>
    <n v="5589.0009781317685"/>
    <n v="5645"/>
    <n v="56378"/>
    <n v="150"/>
    <s v="#LiveForNow"/>
    <m/>
    <m/>
    <x v="6"/>
    <m/>
    <m/>
  </r>
  <r>
    <s v="Image"/>
    <s v="Check out our latest image on facebook!"/>
    <n v="4804"/>
    <n v="550"/>
    <n v="270"/>
    <n v="28824"/>
    <n v="5354.0093671940049"/>
    <n v="5624"/>
    <n v="28370"/>
    <n v="47"/>
    <s v="#ThirstyForMore"/>
    <m/>
    <m/>
    <x v="6"/>
    <m/>
    <s v="DailyWellness"/>
  </r>
  <r>
    <s v="Text"/>
    <s v="Check out our latest text on instagram!"/>
    <n v="4941"/>
    <n v="414"/>
    <n v="266"/>
    <n v="39528"/>
    <n v="5355.0067294070022"/>
    <n v="5621"/>
    <n v="39154"/>
    <n v="217"/>
    <s v="#PepsiCoRefresh"/>
    <m/>
    <m/>
    <x v="6"/>
    <m/>
    <s v="NewYearRefresh"/>
  </r>
  <r>
    <s v="Reel"/>
    <s v="Check out our latest reel on instagram!"/>
    <n v="4838"/>
    <n v="640"/>
    <n v="128"/>
    <n v="72570"/>
    <n v="5478.0017638142481"/>
    <n v="5606"/>
    <n v="72396"/>
    <n v="83"/>
    <s v="#LiveForNow"/>
    <m/>
    <m/>
    <x v="6"/>
    <m/>
    <s v="DailyWellness"/>
  </r>
  <r>
    <s v="Reel"/>
    <s v="Check out our latest reel on twitter!"/>
    <n v="4782"/>
    <n v="721"/>
    <n v="82"/>
    <n v="86076"/>
    <n v="5503.0009526464983"/>
    <n v="5585"/>
    <n v="85339"/>
    <n v="19"/>
    <s v="#ThirstyForMore"/>
    <m/>
    <m/>
    <x v="6"/>
    <m/>
    <s v="SummerSplash"/>
  </r>
  <r>
    <s v="Video"/>
    <s v="Check out our latest video on youtube!"/>
    <n v="4450"/>
    <n v="983"/>
    <n v="143"/>
    <n v="75650"/>
    <n v="5433.0018902842039"/>
    <n v="5576"/>
    <n v="75008"/>
    <n v="12"/>
    <s v="#LiveForNow"/>
    <m/>
    <m/>
    <x v="6"/>
    <m/>
    <s v="NewYearRefresh"/>
  </r>
  <r>
    <s v="Story"/>
    <s v="Check out our latest story on youtube!"/>
    <n v="4285"/>
    <n v="886"/>
    <n v="376"/>
    <n v="55705"/>
    <n v="5171.0067498429225"/>
    <n v="5547"/>
    <n v="55556"/>
    <n v="51"/>
    <s v="#LiveForNow"/>
    <m/>
    <m/>
    <x v="6"/>
    <m/>
    <s v="NewYearRefresh"/>
  </r>
  <r>
    <s v="Text"/>
    <s v="Check out our latest text on twitter!"/>
    <n v="4516"/>
    <n v="836"/>
    <n v="169"/>
    <n v="49676"/>
    <n v="5352.0034020452531"/>
    <n v="5521"/>
    <n v="49257"/>
    <n v="282"/>
    <s v="#ThirstyForMore"/>
    <m/>
    <m/>
    <x v="6"/>
    <m/>
    <s v="DailyWellness"/>
  </r>
  <r>
    <s v="Text"/>
    <s v="Check out our latest text on twitter!"/>
    <n v="4725"/>
    <n v="400"/>
    <n v="362"/>
    <n v="75600"/>
    <n v="5125.0047883597881"/>
    <n v="5487"/>
    <n v="74927"/>
    <n v="43"/>
    <s v="#LiveForNow"/>
    <m/>
    <m/>
    <x v="6"/>
    <m/>
    <s v="DailyWellness"/>
  </r>
  <r>
    <s v="Carousel"/>
    <s v="Check out our latest carousel on youtube!"/>
    <n v="4295"/>
    <n v="853"/>
    <n v="325"/>
    <n v="85900"/>
    <n v="5148.0037834691502"/>
    <n v="5473"/>
    <n v="85788"/>
    <n v="290"/>
    <s v="#PepsiCoRefresh"/>
    <m/>
    <m/>
    <x v="6"/>
    <m/>
    <s v="DailyWellness"/>
  </r>
  <r>
    <s v="Image"/>
    <s v="Check out our latest image on facebook!"/>
    <n v="4551"/>
    <n v="714"/>
    <n v="207"/>
    <n v="68265"/>
    <n v="5265.0030323005931"/>
    <n v="5472"/>
    <n v="67754"/>
    <n v="57"/>
    <s v="#LiveForNow"/>
    <m/>
    <m/>
    <x v="6"/>
    <m/>
    <s v="NewYearRefresh"/>
  </r>
  <r>
    <s v="Carousel"/>
    <s v="Check out our latest carousel on facebook!"/>
    <n v="4712"/>
    <n v="568"/>
    <n v="127"/>
    <n v="84816"/>
    <n v="5280.0014973589887"/>
    <n v="5407"/>
    <n v="84691"/>
    <n v="100"/>
    <s v="#ThirstyForMore"/>
    <m/>
    <m/>
    <x v="6"/>
    <m/>
    <s v="NewYearRefresh"/>
  </r>
  <r>
    <s v="Image"/>
    <s v="Check out our latest image on instagram!"/>
    <n v="4739"/>
    <n v="527"/>
    <n v="135"/>
    <n v="61607"/>
    <n v="5266.0021913094288"/>
    <n v="5401"/>
    <n v="61333"/>
    <n v="36"/>
    <s v="#PepsiCoRefresh"/>
    <s v="#AnytimeIsPepsiTime"/>
    <m/>
    <x v="6"/>
    <m/>
    <s v="FestiveRadiance"/>
  </r>
  <r>
    <s v="Story"/>
    <s v="Check out our latest story on facebook!"/>
    <n v="4321"/>
    <n v="874"/>
    <n v="172"/>
    <n v="30247"/>
    <n v="5195.0056865143652"/>
    <n v="5367"/>
    <n v="29254"/>
    <n v="122"/>
    <s v="#PepsiCoRefresh"/>
    <m/>
    <m/>
    <x v="6"/>
    <m/>
    <s v="DailyWellness"/>
  </r>
  <r>
    <s v="Video"/>
    <s v="Check out our latest video on youtube!"/>
    <n v="4275"/>
    <n v="680"/>
    <n v="385"/>
    <n v="64125"/>
    <n v="4955.0060038986358"/>
    <n v="5340"/>
    <n v="63650"/>
    <n v="104"/>
    <s v="#ThirstyForMore"/>
    <s v="#PepsiCoRefresh"/>
    <s v="#AnytimeIsPepsiTime"/>
    <x v="6"/>
    <m/>
    <s v="DailyWellness"/>
  </r>
  <r>
    <s v="Story"/>
    <s v="Check out our latest story on instagram!"/>
    <n v="4332"/>
    <n v="771"/>
    <n v="219"/>
    <n v="60648"/>
    <n v="5103.003611001187"/>
    <n v="5322"/>
    <n v="60397"/>
    <n v="10"/>
    <s v="#PepsiCoRefresh"/>
    <s v="#ThirstyForMore"/>
    <s v="#BetterWithPepsi"/>
    <x v="6"/>
    <m/>
    <s v="NewYearRefresh"/>
  </r>
  <r>
    <s v="Image"/>
    <s v="Check out our latest image on twitter!"/>
    <n v="4750"/>
    <n v="151"/>
    <n v="415"/>
    <n v="38000"/>
    <n v="4901.0109210526316"/>
    <n v="5316"/>
    <n v="37792"/>
    <n v="299"/>
    <s v="#ThirstyForMore"/>
    <m/>
    <m/>
    <x v="6"/>
    <m/>
    <s v="DailyWellness"/>
  </r>
  <r>
    <s v="Image"/>
    <s v="Check out our latest image on twitter!"/>
    <n v="4858"/>
    <n v="317"/>
    <n v="129"/>
    <n v="53438"/>
    <n v="5175.0024140125006"/>
    <n v="5304"/>
    <n v="52687"/>
    <n v="223"/>
    <s v="#ThirstyForMore"/>
    <m/>
    <m/>
    <x v="6"/>
    <m/>
    <s v="NewYearRefresh"/>
  </r>
  <r>
    <s v="Reel"/>
    <s v="Check out our latest reel on facebook!"/>
    <n v="4767"/>
    <n v="190"/>
    <n v="340"/>
    <n v="28602"/>
    <n v="4957.0118872806097"/>
    <n v="5297"/>
    <n v="28044"/>
    <n v="210"/>
    <s v="#ThirstyForMore"/>
    <m/>
    <m/>
    <x v="6"/>
    <m/>
    <s v="NewYearRefresh"/>
  </r>
  <r>
    <s v="Video"/>
    <s v="Check out our latest video on twitter!"/>
    <n v="4050"/>
    <n v="871"/>
    <n v="347"/>
    <n v="52650"/>
    <n v="4921.0065906932577"/>
    <n v="5268"/>
    <n v="51755"/>
    <n v="209"/>
    <s v="#PepsiCoRefresh"/>
    <m/>
    <m/>
    <x v="6"/>
    <m/>
    <s v="FestiveRadiance"/>
  </r>
  <r>
    <s v="Carousel"/>
    <s v="Check out our latest carousel on twitter!"/>
    <n v="4494"/>
    <n v="717"/>
    <n v="45"/>
    <n v="62916"/>
    <n v="5211.0007152393664"/>
    <n v="5256"/>
    <n v="62688"/>
    <n v="191"/>
    <s v="#PepsiCoRefresh"/>
    <s v="#ThirstyForMore"/>
    <s v="#BetterWithPepsi"/>
    <x v="6"/>
    <m/>
    <s v="SummerSplash"/>
  </r>
  <r>
    <s v="Text"/>
    <s v="Check out our latest text on youtube!"/>
    <n v="4188"/>
    <n v="942"/>
    <n v="118"/>
    <n v="20940"/>
    <n v="5130.0056351480416"/>
    <n v="5248"/>
    <n v="20471"/>
    <n v="102"/>
    <s v="#LiveForNow"/>
    <m/>
    <m/>
    <x v="6"/>
    <m/>
    <m/>
  </r>
  <r>
    <s v="Image"/>
    <s v="Check out our latest image on facebook!"/>
    <n v="4236"/>
    <n v="711"/>
    <n v="298"/>
    <n v="21180"/>
    <n v="4947.0140698772429"/>
    <n v="5245"/>
    <n v="20516"/>
    <n v="238"/>
    <s v="#LiveForNow"/>
    <m/>
    <m/>
    <x v="6"/>
    <m/>
    <s v="SummerSplash"/>
  </r>
  <r>
    <s v="Image"/>
    <s v="Check out our latest image on facebook!"/>
    <n v="4689"/>
    <n v="134"/>
    <n v="403"/>
    <n v="51579"/>
    <n v="4823.0078132573335"/>
    <n v="5226"/>
    <n v="50924"/>
    <n v="173"/>
    <s v="#PepsiCoRefresh"/>
    <m/>
    <m/>
    <x v="6"/>
    <m/>
    <s v="DailyWellness"/>
  </r>
  <r>
    <s v="Image"/>
    <s v="Check out our latest image on instagram!"/>
    <n v="4501"/>
    <n v="375"/>
    <n v="323"/>
    <n v="22505"/>
    <n v="4876.0143523661409"/>
    <n v="5199"/>
    <n v="21836"/>
    <n v="132"/>
    <s v="#PepsiCoRefresh"/>
    <m/>
    <m/>
    <x v="6"/>
    <m/>
    <s v="FestiveRadiance"/>
  </r>
  <r>
    <s v="Image"/>
    <s v="Check out our latest image on facebook!"/>
    <n v="4241"/>
    <n v="902"/>
    <n v="47"/>
    <n v="72097"/>
    <n v="5143.0006518995242"/>
    <n v="5190"/>
    <n v="71598"/>
    <n v="167"/>
    <s v="#PepsiCoRefresh"/>
    <m/>
    <m/>
    <x v="6"/>
    <m/>
    <s v="FestiveRadiance"/>
  </r>
  <r>
    <s v="Story"/>
    <s v="Check out our latest story on instagram!"/>
    <n v="4518"/>
    <n v="285"/>
    <n v="383"/>
    <n v="67770"/>
    <n v="4803.005651468201"/>
    <n v="5186"/>
    <n v="67621"/>
    <n v="31"/>
    <s v="#ThirstyForMore"/>
    <m/>
    <m/>
    <x v="6"/>
    <m/>
    <s v="FestiveRadiance"/>
  </r>
  <r>
    <s v="Carousel"/>
    <s v="Check out our latest carousel on facebook!"/>
    <n v="4731"/>
    <n v="173"/>
    <n v="276"/>
    <n v="28386"/>
    <n v="4904.0097231029376"/>
    <n v="5180"/>
    <n v="28185"/>
    <n v="89"/>
    <s v="#ThirstyForMore"/>
    <m/>
    <m/>
    <x v="6"/>
    <m/>
    <s v="NewYearRefresh"/>
  </r>
  <r>
    <s v="Story"/>
    <s v="Check out our latest story on twitter!"/>
    <n v="4000"/>
    <n v="689"/>
    <n v="488"/>
    <n v="40000"/>
    <n v="4689.0122000000001"/>
    <n v="5177"/>
    <n v="39569"/>
    <n v="44"/>
    <s v="#LiveForNow"/>
    <m/>
    <m/>
    <x v="6"/>
    <m/>
    <s v="SummerSplash"/>
  </r>
  <r>
    <s v="Story"/>
    <s v="Check out our latest story on twitter!"/>
    <n v="3801"/>
    <n v="967"/>
    <n v="401"/>
    <n v="38010"/>
    <n v="4768.0105498553012"/>
    <n v="5169"/>
    <n v="37625"/>
    <n v="236"/>
    <s v="#LiveForNow"/>
    <m/>
    <m/>
    <x v="6"/>
    <m/>
    <s v="NewYearRefresh"/>
  </r>
  <r>
    <s v="Story"/>
    <s v="Check out our latest story on youtube!"/>
    <n v="4775"/>
    <n v="173"/>
    <n v="206"/>
    <n v="47750"/>
    <n v="4948.0043141361257"/>
    <n v="5154"/>
    <n v="47544"/>
    <n v="187"/>
    <s v="#LiveForNow"/>
    <m/>
    <m/>
    <x v="6"/>
    <m/>
    <s v="FestiveRadiance"/>
  </r>
  <r>
    <s v="Story"/>
    <s v="Check out our latest story on instagram!"/>
    <n v="4363"/>
    <n v="649"/>
    <n v="140"/>
    <n v="21815"/>
    <n v="5012.0064176025671"/>
    <n v="5152"/>
    <n v="21481"/>
    <n v="157"/>
    <s v="#ThirstyForMore"/>
    <m/>
    <m/>
    <x v="6"/>
    <m/>
    <s v="SummerSplash"/>
  </r>
  <r>
    <s v="Story"/>
    <s v="Check out our latest story on youtube!"/>
    <n v="4350"/>
    <n v="771"/>
    <n v="7"/>
    <n v="60900"/>
    <n v="5121.0001149425289"/>
    <n v="5128"/>
    <n v="60592"/>
    <n v="195"/>
    <s v="#ThirstyForMore"/>
    <m/>
    <m/>
    <x v="6"/>
    <m/>
    <s v="SummerSplash"/>
  </r>
  <r>
    <s v="Story"/>
    <s v="Check out our latest story on facebook!"/>
    <n v="4182"/>
    <n v="640"/>
    <n v="240"/>
    <n v="50184"/>
    <n v="4822.0047824007652"/>
    <n v="5062"/>
    <n v="49351"/>
    <n v="10"/>
    <s v="#PepsiCoRefresh"/>
    <m/>
    <m/>
    <x v="6"/>
    <m/>
    <s v="NewYearRefresh"/>
  </r>
  <r>
    <s v="Reel"/>
    <s v="Check out our latest reel on facebook!"/>
    <n v="4134"/>
    <n v="824"/>
    <n v="99"/>
    <n v="41340"/>
    <n v="4958.002394775036"/>
    <n v="5057"/>
    <n v="41050"/>
    <n v="177"/>
    <s v="#ThirstyForMore"/>
    <m/>
    <m/>
    <x v="6"/>
    <m/>
    <s v="SummerSplash"/>
  </r>
  <r>
    <s v="Video"/>
    <s v="Check out our latest video on instagram!"/>
    <n v="4561"/>
    <n v="51"/>
    <n v="441"/>
    <n v="22805"/>
    <n v="4612.0193378645035"/>
    <n v="5053"/>
    <n v="21890"/>
    <n v="45"/>
    <s v="#PepsiCoRefresh"/>
    <m/>
    <m/>
    <x v="6"/>
    <m/>
    <s v="FestiveRadiance"/>
  </r>
  <r>
    <s v="Image"/>
    <s v="Check out our latest image on facebook!"/>
    <n v="4303"/>
    <n v="451"/>
    <n v="286"/>
    <n v="86060"/>
    <n v="4754.0033232628402"/>
    <n v="5040"/>
    <n v="85823"/>
    <n v="14"/>
    <s v="#PepsiCoRefresh"/>
    <m/>
    <m/>
    <x v="6"/>
    <m/>
    <s v="NewYearRefresh"/>
  </r>
  <r>
    <s v="Story"/>
    <s v="Check out our latest story on facebook!"/>
    <n v="4126"/>
    <n v="426"/>
    <n v="486"/>
    <n v="78394"/>
    <n v="4552.0061994540401"/>
    <n v="5038"/>
    <n v="77798"/>
    <n v="88"/>
    <s v="#LiveForNow"/>
    <m/>
    <m/>
    <x v="6"/>
    <m/>
    <s v="DailyWellness"/>
  </r>
  <r>
    <s v="Video"/>
    <s v="Check out our latest video on facebook!"/>
    <n v="4663"/>
    <n v="145"/>
    <n v="225"/>
    <n v="69945"/>
    <n v="4808.0032168132102"/>
    <n v="5033"/>
    <n v="69596"/>
    <n v="35"/>
    <s v="#ThirstyForMore"/>
    <m/>
    <m/>
    <x v="6"/>
    <m/>
    <s v="DailyWellness"/>
  </r>
  <r>
    <s v="Carousel"/>
    <s v="Check out our latest carousel on twitter!"/>
    <n v="4672"/>
    <n v="325"/>
    <n v="32"/>
    <n v="88768"/>
    <n v="4997.0003604902668"/>
    <n v="5029"/>
    <n v="87833"/>
    <n v="118"/>
    <s v="#ThirstyForMore"/>
    <m/>
    <m/>
    <x v="6"/>
    <m/>
    <m/>
  </r>
  <r>
    <s v="Carousel"/>
    <s v="Check out our latest carousel on twitter!"/>
    <n v="4419"/>
    <n v="236"/>
    <n v="369"/>
    <n v="44190"/>
    <n v="4655.0083503054993"/>
    <n v="5024"/>
    <n v="43582"/>
    <n v="10"/>
    <s v="#ThirstyForMore"/>
    <m/>
    <m/>
    <x v="6"/>
    <m/>
    <s v="SummerSplash"/>
  </r>
  <r>
    <s v="Text"/>
    <s v="Check out our latest text on facebook!"/>
    <n v="4441"/>
    <n v="511"/>
    <n v="70"/>
    <n v="53292"/>
    <n v="4952.0013135179761"/>
    <n v="5022"/>
    <n v="53082"/>
    <n v="159"/>
    <s v="#ThirstyForMore"/>
    <m/>
    <m/>
    <x v="6"/>
    <m/>
    <s v="DailyWellness"/>
  </r>
  <r>
    <s v="Reel"/>
    <s v="Check out our latest reel on facebook!"/>
    <n v="3813"/>
    <n v="935"/>
    <n v="274"/>
    <n v="68634"/>
    <n v="4748.0039921904599"/>
    <n v="5022"/>
    <n v="68488"/>
    <n v="251"/>
    <s v="#LiveForNow"/>
    <m/>
    <m/>
    <x v="6"/>
    <m/>
    <m/>
  </r>
  <r>
    <s v="Reel"/>
    <s v="Check out our latest reel on instagram!"/>
    <n v="4579"/>
    <n v="125"/>
    <n v="300"/>
    <n v="59527"/>
    <n v="4704.0050397298701"/>
    <n v="5004"/>
    <n v="59400"/>
    <n v="269"/>
    <s v="#ThirstyForMore"/>
    <m/>
    <m/>
    <x v="6"/>
    <m/>
    <s v="SummerSplash"/>
  </r>
  <r>
    <s v="Text"/>
    <s v="Check out our latest text on facebook!"/>
    <n v="3784"/>
    <n v="808"/>
    <n v="404"/>
    <n v="56760"/>
    <n v="4592.0071176885131"/>
    <n v="4996"/>
    <n v="56343"/>
    <n v="131"/>
    <s v="#PepsiCoRefresh"/>
    <m/>
    <m/>
    <x v="6"/>
    <m/>
    <s v="FestiveRadiance"/>
  </r>
  <r>
    <s v="Video"/>
    <s v="Check out our latest video on facebook!"/>
    <n v="4453"/>
    <n v="111"/>
    <n v="420"/>
    <n v="31171"/>
    <n v="4564.0134740624299"/>
    <n v="4984"/>
    <n v="30565"/>
    <n v="23"/>
    <s v="#PepsiCoRefresh"/>
    <m/>
    <m/>
    <x v="6"/>
    <m/>
    <m/>
  </r>
  <r>
    <s v="Text"/>
    <s v="Check out our latest text on twitter!"/>
    <n v="4054"/>
    <n v="389"/>
    <n v="493"/>
    <n v="64864"/>
    <n v="4443.0076005180072"/>
    <n v="4936"/>
    <n v="64383"/>
    <n v="117"/>
    <s v="#PepsiCoRefresh"/>
    <s v="#BetterWithPepsi"/>
    <m/>
    <x v="6"/>
    <m/>
    <s v="FestiveRadiance"/>
  </r>
  <r>
    <s v="Story"/>
    <s v="Check out our latest story on facebook!"/>
    <n v="4242"/>
    <n v="555"/>
    <n v="131"/>
    <n v="33936"/>
    <n v="4797.0038602074492"/>
    <n v="4928"/>
    <n v="33802"/>
    <n v="265"/>
    <s v="#LiveForNow"/>
    <m/>
    <m/>
    <x v="6"/>
    <m/>
    <m/>
  </r>
  <r>
    <s v="Video"/>
    <s v="Check out our latest video on instagram!"/>
    <n v="4133"/>
    <n v="466"/>
    <n v="327"/>
    <n v="24798"/>
    <n v="4599.0131865473022"/>
    <n v="4926"/>
    <n v="24620"/>
    <n v="176"/>
    <s v="#ThirstyForMore"/>
    <m/>
    <m/>
    <x v="6"/>
    <m/>
    <s v="DailyWellness"/>
  </r>
  <r>
    <s v="Image"/>
    <s v="Check out our latest image on instagram!"/>
    <n v="3861"/>
    <n v="960"/>
    <n v="101"/>
    <n v="69498"/>
    <n v="4821.0014532792311"/>
    <n v="4922"/>
    <n v="68817"/>
    <n v="297"/>
    <s v="#PepsiCoRefresh"/>
    <m/>
    <m/>
    <x v="6"/>
    <m/>
    <s v="DailyWellness"/>
  </r>
  <r>
    <s v="Carousel"/>
    <s v="Check out our latest carousel on instagram!"/>
    <n v="4054"/>
    <n v="488"/>
    <n v="373"/>
    <n v="77026"/>
    <n v="4542.0048425207069"/>
    <n v="4915"/>
    <n v="76881"/>
    <n v="25"/>
    <s v="#PepsiCoRefresh"/>
    <m/>
    <m/>
    <x v="6"/>
    <m/>
    <s v="SummerSplash"/>
  </r>
  <r>
    <s v="Text"/>
    <s v="Check out our latest text on facebook!"/>
    <n v="4213"/>
    <n v="253"/>
    <n v="434"/>
    <n v="75834"/>
    <n v="4466.0057230266111"/>
    <n v="4900"/>
    <n v="75437"/>
    <n v="272"/>
    <s v="#LiveForNow"/>
    <m/>
    <m/>
    <x v="6"/>
    <m/>
    <s v="DailyWellness"/>
  </r>
  <r>
    <s v="Carousel"/>
    <s v="Check out our latest carousel on twitter!"/>
    <n v="4274"/>
    <n v="340"/>
    <n v="281"/>
    <n v="34192"/>
    <n v="4614.008218296678"/>
    <n v="4895"/>
    <n v="33446"/>
    <n v="129"/>
    <s v="#PepsiCoRefresh"/>
    <s v="#SmoothLikeNitroPepsi"/>
    <m/>
    <x v="6"/>
    <m/>
    <s v="NewYearRefresh"/>
  </r>
  <r>
    <s v="Carousel"/>
    <s v="Check out our latest carousel on twitter!"/>
    <n v="3811"/>
    <n v="866"/>
    <n v="216"/>
    <n v="34299"/>
    <n v="4677.0062975596957"/>
    <n v="4893"/>
    <n v="34088"/>
    <n v="233"/>
    <s v="#PepsiCoRefresh"/>
    <m/>
    <m/>
    <x v="6"/>
    <m/>
    <s v="DailyWellness"/>
  </r>
  <r>
    <s v="Text"/>
    <s v="Check out our latest text on youtube!"/>
    <n v="4021"/>
    <n v="794"/>
    <n v="77"/>
    <n v="36189"/>
    <n v="4815.0021277183678"/>
    <n v="4892"/>
    <n v="35505"/>
    <n v="174"/>
    <s v="#ThirstyForMore"/>
    <m/>
    <m/>
    <x v="6"/>
    <m/>
    <m/>
  </r>
  <r>
    <s v="Image"/>
    <s v="Check out our latest image on twitter!"/>
    <n v="3592"/>
    <n v="911"/>
    <n v="375"/>
    <n v="50288"/>
    <n v="4503.0074570474071"/>
    <n v="4878"/>
    <n v="49490"/>
    <n v="32"/>
    <s v="#LiveForNow"/>
    <m/>
    <m/>
    <x v="6"/>
    <m/>
    <s v="DailyWellness"/>
  </r>
  <r>
    <s v="Carousel"/>
    <s v="Check out our latest carousel on facebook!"/>
    <n v="3796"/>
    <n v="667"/>
    <n v="395"/>
    <n v="64532"/>
    <n v="4463.0061209942351"/>
    <n v="4858"/>
    <n v="63550"/>
    <n v="292"/>
    <s v="#PepsiCoRefresh"/>
    <m/>
    <m/>
    <x v="6"/>
    <m/>
    <m/>
  </r>
  <r>
    <s v="Video"/>
    <s v="Check out our latest video on facebook!"/>
    <n v="3961"/>
    <n v="761"/>
    <n v="131"/>
    <n v="67337"/>
    <n v="4722.0019454386147"/>
    <n v="4853"/>
    <n v="66615"/>
    <n v="161"/>
    <s v="#LiveForNow"/>
    <m/>
    <m/>
    <x v="6"/>
    <m/>
    <s v="NewYearRefresh"/>
  </r>
  <r>
    <s v="Story"/>
    <s v="Check out our latest story on instagram!"/>
    <n v="3770"/>
    <n v="917"/>
    <n v="129"/>
    <n v="71630"/>
    <n v="4687.0018009214018"/>
    <n v="4816"/>
    <n v="71322"/>
    <n v="76"/>
    <s v="#LiveForNow"/>
    <m/>
    <m/>
    <x v="6"/>
    <m/>
    <s v="SummerSplash"/>
  </r>
  <r>
    <s v="Carousel"/>
    <s v="Check out our latest carousel on youtube!"/>
    <n v="4171"/>
    <n v="548"/>
    <n v="86"/>
    <n v="66736"/>
    <n v="4719.0012886597942"/>
    <n v="4805"/>
    <n v="66634"/>
    <n v="173"/>
    <s v="#LiveForNow"/>
    <m/>
    <m/>
    <x v="6"/>
    <m/>
    <s v="NewYearRefresh"/>
  </r>
  <r>
    <s v="Image"/>
    <s v="Check out our latest image on instagram!"/>
    <n v="4177"/>
    <n v="569"/>
    <n v="55"/>
    <n v="25062"/>
    <n v="4746.0021945574972"/>
    <n v="4801"/>
    <n v="24847"/>
    <n v="230"/>
    <s v="#LiveForNow"/>
    <m/>
    <m/>
    <x v="6"/>
    <m/>
    <s v="SummerSplash"/>
  </r>
  <r>
    <s v="Video"/>
    <s v="Check out our latest video on twitter!"/>
    <n v="3820"/>
    <n v="697"/>
    <n v="268"/>
    <n v="45840"/>
    <n v="4517.0058464223384"/>
    <n v="4785"/>
    <n v="45631"/>
    <n v="171"/>
    <s v="#PepsiCoRefresh"/>
    <s v="#SmoothLikeNitroPepsi"/>
    <m/>
    <x v="6"/>
    <m/>
    <s v="DailyWellness"/>
  </r>
  <r>
    <s v="Video"/>
    <s v="Check out our latest video on youtube!"/>
    <n v="3874"/>
    <n v="884"/>
    <n v="19"/>
    <n v="38740"/>
    <n v="4758.0004904491479"/>
    <n v="4777"/>
    <n v="38552"/>
    <n v="219"/>
    <s v="#PepsiCoRefresh"/>
    <m/>
    <m/>
    <x v="6"/>
    <m/>
    <s v="FestiveRadiance"/>
  </r>
  <r>
    <s v="Carousel"/>
    <s v="Check out our latest carousel on facebook!"/>
    <n v="3352"/>
    <n v="941"/>
    <n v="482"/>
    <n v="43576"/>
    <n v="4293.0110611345699"/>
    <n v="4775"/>
    <n v="43338"/>
    <n v="240"/>
    <s v="#LiveForNow"/>
    <m/>
    <m/>
    <x v="6"/>
    <m/>
    <s v="FestiveRadiance"/>
  </r>
  <r>
    <s v="Reel"/>
    <s v="Check out our latest reel on instagram!"/>
    <n v="3523"/>
    <n v="753"/>
    <n v="482"/>
    <n v="38753"/>
    <n v="4276.0124377467555"/>
    <n v="4758"/>
    <n v="38579"/>
    <n v="270"/>
    <s v="#ThirstyForMore"/>
    <m/>
    <m/>
    <x v="6"/>
    <m/>
    <s v="FestiveRadiance"/>
  </r>
  <r>
    <s v="Carousel"/>
    <s v="Check out our latest carousel on instagram!"/>
    <n v="4523"/>
    <n v="61"/>
    <n v="157"/>
    <n v="49753"/>
    <n v="4584.003155588608"/>
    <n v="4741"/>
    <n v="49329"/>
    <n v="71"/>
    <s v="#ThirstyForMore"/>
    <m/>
    <m/>
    <x v="6"/>
    <m/>
    <m/>
  </r>
  <r>
    <s v="Carousel"/>
    <s v="Check out our latest carousel on twitter!"/>
    <n v="4507"/>
    <n v="217"/>
    <n v="13"/>
    <n v="90140"/>
    <n v="4724.0001442201019"/>
    <n v="4737"/>
    <n v="89591"/>
    <n v="125"/>
    <s v="#LiveForNow"/>
    <m/>
    <m/>
    <x v="6"/>
    <m/>
    <s v="NewYearRefresh"/>
  </r>
  <r>
    <s v="Carousel"/>
    <s v="Check out our latest carousel on facebook!"/>
    <n v="4292"/>
    <n v="51"/>
    <n v="392"/>
    <n v="55796"/>
    <n v="4343.0070255932324"/>
    <n v="4735"/>
    <n v="54826"/>
    <n v="264"/>
    <s v="#ThirstyForMore"/>
    <m/>
    <m/>
    <x v="6"/>
    <m/>
    <s v="NewYearRefresh"/>
  </r>
  <r>
    <s v="Reel"/>
    <s v="Check out our latest reel on youtube!"/>
    <n v="3557"/>
    <n v="687"/>
    <n v="424"/>
    <n v="71140"/>
    <n v="4244.0059600787181"/>
    <n v="4668"/>
    <n v="70701"/>
    <n v="224"/>
    <s v="#ThirstyForMore"/>
    <s v="#PepsiCoRefresh"/>
    <m/>
    <x v="6"/>
    <m/>
    <s v="SummerSplash"/>
  </r>
  <r>
    <s v="Text"/>
    <s v="Check out our latest text on twitter!"/>
    <n v="3577"/>
    <n v="596"/>
    <n v="493"/>
    <n v="67963"/>
    <n v="4173.0072539470002"/>
    <n v="4666"/>
    <n v="67839"/>
    <n v="53"/>
    <s v="#PepsiCoRefresh"/>
    <m/>
    <m/>
    <x v="6"/>
    <m/>
    <s v="NewYearRefresh"/>
  </r>
  <r>
    <s v="Video"/>
    <s v="Check out our latest video on facebook!"/>
    <n v="3888"/>
    <n v="604"/>
    <n v="128"/>
    <n v="77760"/>
    <n v="4492.0016460905354"/>
    <n v="4620"/>
    <n v="77167"/>
    <n v="20"/>
    <s v="#LiveForNow"/>
    <m/>
    <m/>
    <x v="6"/>
    <m/>
    <s v="SummerSplash"/>
  </r>
  <r>
    <s v="Reel"/>
    <s v="Check out our latest reel on twitter!"/>
    <n v="3791"/>
    <n v="593"/>
    <n v="228"/>
    <n v="53074"/>
    <n v="4384.0042958887589"/>
    <n v="4612"/>
    <n v="52613"/>
    <n v="205"/>
    <s v="#ThirstyForMore"/>
    <m/>
    <m/>
    <x v="6"/>
    <m/>
    <m/>
  </r>
  <r>
    <s v="Carousel"/>
    <s v="Check out our latest carousel on instagram!"/>
    <n v="4158"/>
    <n v="167"/>
    <n v="241"/>
    <n v="45738"/>
    <n v="4325.0052691416331"/>
    <n v="4566"/>
    <n v="45183"/>
    <n v="142"/>
    <s v="#LiveForNow"/>
    <m/>
    <m/>
    <x v="6"/>
    <m/>
    <m/>
  </r>
  <r>
    <s v="Reel"/>
    <s v="Check out our latest reel on facebook!"/>
    <n v="3452"/>
    <n v="652"/>
    <n v="442"/>
    <n v="65588"/>
    <n v="4104.0067390376289"/>
    <n v="4546"/>
    <n v="65049"/>
    <n v="158"/>
    <s v="#LiveForNow"/>
    <m/>
    <m/>
    <x v="6"/>
    <m/>
    <s v="NewYearRefresh"/>
  </r>
  <r>
    <s v="Story"/>
    <s v="Check out our latest story on facebook!"/>
    <n v="3767"/>
    <n v="514"/>
    <n v="238"/>
    <n v="37670"/>
    <n v="4281.0063180249535"/>
    <n v="4519"/>
    <n v="36807"/>
    <n v="226"/>
    <s v="#LiveForNow"/>
    <m/>
    <m/>
    <x v="6"/>
    <m/>
    <s v="DailyWellness"/>
  </r>
  <r>
    <s v="Image"/>
    <s v="Check out our latest image on facebook!"/>
    <n v="3196"/>
    <n v="941"/>
    <n v="376"/>
    <n v="35156"/>
    <n v="4137.0106951871658"/>
    <n v="4513"/>
    <n v="34444"/>
    <n v="241"/>
    <s v="#PepsiCoRefresh"/>
    <m/>
    <m/>
    <x v="6"/>
    <m/>
    <s v="NewYearRefresh"/>
  </r>
  <r>
    <s v="Story"/>
    <s v="Check out our latest story on youtube!"/>
    <n v="3655"/>
    <n v="568"/>
    <n v="286"/>
    <n v="32895"/>
    <n v="4223.008694330445"/>
    <n v="4509"/>
    <n v="32015"/>
    <n v="199"/>
    <s v="#PepsiCoRefresh"/>
    <m/>
    <m/>
    <x v="6"/>
    <m/>
    <s v="NewYearRefresh"/>
  </r>
  <r>
    <s v="Image"/>
    <s v="Check out our latest image on youtube!"/>
    <n v="3929"/>
    <n v="262"/>
    <n v="278"/>
    <n v="43219"/>
    <n v="4191.0064323561401"/>
    <n v="4469"/>
    <n v="42841"/>
    <n v="39"/>
    <s v="#ThirstyForMore"/>
    <m/>
    <m/>
    <x v="6"/>
    <m/>
    <s v="DailyWellness"/>
  </r>
  <r>
    <s v="Text"/>
    <s v="Check out our latest text on instagram!"/>
    <n v="3134"/>
    <n v="888"/>
    <n v="444"/>
    <n v="21938"/>
    <n v="4022.0202388549551"/>
    <n v="4466"/>
    <n v="21337"/>
    <n v="130"/>
    <s v="#ThirstyForMore"/>
    <m/>
    <m/>
    <x v="6"/>
    <m/>
    <s v="DailyWellness"/>
  </r>
  <r>
    <s v="Video"/>
    <s v="Check out our latest video on instagram!"/>
    <n v="3575"/>
    <n v="749"/>
    <n v="111"/>
    <n v="21450"/>
    <n v="4324.0051748251744"/>
    <n v="4435"/>
    <n v="20785"/>
    <n v="195"/>
    <s v="#ThirstyForMore"/>
    <m/>
    <m/>
    <x v="6"/>
    <m/>
    <s v="FestiveRadiance"/>
  </r>
  <r>
    <s v="Text"/>
    <s v="Check out our latest text on instagram!"/>
    <n v="3432"/>
    <n v="869"/>
    <n v="123"/>
    <n v="54912"/>
    <n v="4301.0022399475529"/>
    <n v="4424"/>
    <n v="53916"/>
    <n v="264"/>
    <s v="#ThirstyForMore"/>
    <m/>
    <m/>
    <x v="6"/>
    <m/>
    <s v="FestiveRadiance"/>
  </r>
  <r>
    <s v="Reel"/>
    <s v="Check out our latest reel on facebook!"/>
    <n v="3718"/>
    <n v="385"/>
    <n v="310"/>
    <n v="70642"/>
    <n v="4103.0043883242261"/>
    <n v="4413"/>
    <n v="69749"/>
    <n v="233"/>
    <s v="#PepsiCoRefresh"/>
    <m/>
    <m/>
    <x v="6"/>
    <m/>
    <s v="FestiveRadiance"/>
  </r>
  <r>
    <s v="Image"/>
    <s v="Check out our latest image on twitter!"/>
    <n v="3170"/>
    <n v="857"/>
    <n v="379"/>
    <n v="19020"/>
    <n v="4027.0199263932705"/>
    <n v="4406"/>
    <n v="18559"/>
    <n v="240"/>
    <s v="#LiveForNow"/>
    <m/>
    <m/>
    <x v="6"/>
    <m/>
    <m/>
  </r>
  <r>
    <s v="Reel"/>
    <s v="Check out our latest reel on facebook!"/>
    <n v="3360"/>
    <n v="525"/>
    <n v="500"/>
    <n v="60480"/>
    <n v="3885.0082671957671"/>
    <n v="4385"/>
    <n v="59610"/>
    <n v="192"/>
    <s v="#PepsiCoRefresh"/>
    <m/>
    <m/>
    <x v="6"/>
    <m/>
    <s v="SummerSplash"/>
  </r>
  <r>
    <s v="Image"/>
    <s v="Check out our latest image on twitter!"/>
    <n v="3215"/>
    <n v="960"/>
    <n v="202"/>
    <n v="32150"/>
    <n v="4175.0062830482111"/>
    <n v="4377"/>
    <n v="31404"/>
    <n v="251"/>
    <s v="#ThirstyForMore"/>
    <m/>
    <m/>
    <x v="6"/>
    <m/>
    <s v="SummerSplash"/>
  </r>
  <r>
    <s v="Story"/>
    <s v="Check out our latest story on instagram!"/>
    <n v="3601"/>
    <n v="695"/>
    <n v="75"/>
    <n v="21606"/>
    <n v="4296.0034712579836"/>
    <n v="4371"/>
    <n v="21454"/>
    <n v="172"/>
    <s v="#ThirstyForMore"/>
    <m/>
    <m/>
    <x v="6"/>
    <m/>
    <s v="FestiveRadiance"/>
  </r>
  <r>
    <s v="Image"/>
    <s v="Check out our latest image on facebook!"/>
    <n v="3564"/>
    <n v="629"/>
    <n v="177"/>
    <n v="60588"/>
    <n v="4193.0029213705684"/>
    <n v="4370"/>
    <n v="59627"/>
    <n v="92"/>
    <s v="#PepsiCoRefresh"/>
    <m/>
    <m/>
    <x v="6"/>
    <m/>
    <m/>
  </r>
  <r>
    <s v="Text"/>
    <s v="Check out our latest text on youtube!"/>
    <n v="3711"/>
    <n v="352"/>
    <n v="290"/>
    <n v="48243"/>
    <n v="4063.0060112347905"/>
    <n v="4353"/>
    <n v="47579"/>
    <n v="11"/>
    <s v="#PepsiCoRefresh"/>
    <m/>
    <m/>
    <x v="6"/>
    <m/>
    <s v="SummerSplash"/>
  </r>
  <r>
    <s v="Reel"/>
    <s v="Check out our latest reel on youtube!"/>
    <n v="3704"/>
    <n v="186"/>
    <n v="458"/>
    <n v="25928"/>
    <n v="3890.0176643011418"/>
    <n v="4348"/>
    <n v="25081"/>
    <n v="131"/>
    <s v="#PepsiCoRefresh"/>
    <m/>
    <m/>
    <x v="6"/>
    <m/>
    <m/>
  </r>
  <r>
    <s v="Carousel"/>
    <s v="Check out our latest carousel on twitter!"/>
    <n v="3860"/>
    <n v="201"/>
    <n v="279"/>
    <n v="61760"/>
    <n v="4061.0045174870465"/>
    <n v="4340"/>
    <n v="61660"/>
    <n v="235"/>
    <s v="#PepsiCoRefresh"/>
    <m/>
    <m/>
    <x v="6"/>
    <m/>
    <s v="FestiveRadiance"/>
  </r>
  <r>
    <s v="Carousel"/>
    <s v="Check out our latest carousel on facebook!"/>
    <n v="3024"/>
    <n v="925"/>
    <n v="350"/>
    <n v="24192"/>
    <n v="3949.0144675925926"/>
    <n v="4299"/>
    <n v="23518"/>
    <n v="36"/>
    <s v="#ThirstyForMore"/>
    <m/>
    <m/>
    <x v="6"/>
    <m/>
    <s v="FestiveRadiance"/>
  </r>
  <r>
    <s v="Reel"/>
    <s v="Check out our latest reel on twitter!"/>
    <n v="4187"/>
    <n v="66"/>
    <n v="31"/>
    <n v="66992"/>
    <n v="4253.0004627418202"/>
    <n v="4284"/>
    <n v="66614"/>
    <n v="62"/>
    <s v="#LiveForNow"/>
    <m/>
    <m/>
    <x v="6"/>
    <m/>
    <m/>
  </r>
  <r>
    <s v="Video"/>
    <s v="Check out our latest video on youtube!"/>
    <n v="3809"/>
    <n v="273"/>
    <n v="200"/>
    <n v="34281"/>
    <n v="4082.005834135527"/>
    <n v="4282"/>
    <n v="33534"/>
    <n v="83"/>
    <s v="#ThirstyForMore"/>
    <m/>
    <m/>
    <x v="6"/>
    <m/>
    <s v="SummerSplash"/>
  </r>
  <r>
    <s v="Story"/>
    <s v="Check out our latest story on twitter!"/>
    <n v="3649"/>
    <n v="215"/>
    <n v="413"/>
    <n v="25543"/>
    <n v="3864.0161688133735"/>
    <n v="4277"/>
    <n v="24963"/>
    <n v="167"/>
    <s v="#LiveForNow"/>
    <m/>
    <m/>
    <x v="6"/>
    <m/>
    <s v="NewYearRefresh"/>
  </r>
  <r>
    <s v="Reel"/>
    <s v="Check out our latest reel on facebook!"/>
    <n v="3960"/>
    <n v="266"/>
    <n v="8"/>
    <n v="35640"/>
    <n v="4226.0002244668913"/>
    <n v="4234"/>
    <n v="34850"/>
    <n v="208"/>
    <s v="#LiveForNow"/>
    <s v="#ThirstyForMore"/>
    <s v="#BetterWithPepsi"/>
    <x v="6"/>
    <m/>
    <m/>
  </r>
  <r>
    <s v="Carousel"/>
    <s v="Check out our latest carousel on facebook!"/>
    <n v="2945"/>
    <n v="930"/>
    <n v="355"/>
    <n v="23560"/>
    <n v="3875.0150679117146"/>
    <n v="4230"/>
    <n v="23275"/>
    <n v="256"/>
    <s v="#PepsiCoRefresh"/>
    <m/>
    <m/>
    <x v="6"/>
    <m/>
    <s v="FestiveRadiance"/>
  </r>
  <r>
    <s v="Text"/>
    <s v="Check out our latest text on facebook!"/>
    <n v="3828"/>
    <n v="148"/>
    <n v="253"/>
    <n v="30624"/>
    <n v="3976.008261494253"/>
    <n v="4229"/>
    <n v="30229"/>
    <n v="235"/>
    <s v="#ThirstyForMore"/>
    <m/>
    <m/>
    <x v="6"/>
    <m/>
    <m/>
  </r>
  <r>
    <s v="Text"/>
    <s v="Check out our latest text on facebook!"/>
    <n v="3452"/>
    <n v="377"/>
    <n v="360"/>
    <n v="55232"/>
    <n v="3829.0065179606027"/>
    <n v="4189"/>
    <n v="55075"/>
    <n v="87"/>
    <s v="#LiveForNow"/>
    <m/>
    <m/>
    <x v="6"/>
    <m/>
    <s v="NewYearRefresh"/>
  </r>
  <r>
    <s v="Carousel"/>
    <s v="Check out our latest carousel on twitter!"/>
    <n v="3535"/>
    <n v="494"/>
    <n v="152"/>
    <n v="53025"/>
    <n v="4029.0028665723717"/>
    <n v="4181"/>
    <n v="52791"/>
    <n v="44"/>
    <s v="#PepsiCoRefresh"/>
    <m/>
    <m/>
    <x v="6"/>
    <m/>
    <s v="DailyWellness"/>
  </r>
  <r>
    <s v="Story"/>
    <s v="Check out our latest story on facebook!"/>
    <n v="3430"/>
    <n v="566"/>
    <n v="164"/>
    <n v="48020"/>
    <n v="3996.0034152436483"/>
    <n v="4160"/>
    <n v="47305"/>
    <n v="120"/>
    <s v="#LiveForNow"/>
    <m/>
    <m/>
    <x v="6"/>
    <m/>
    <m/>
  </r>
  <r>
    <s v="Carousel"/>
    <s v="Check out our latest carousel on instagram!"/>
    <n v="3773"/>
    <n v="299"/>
    <n v="38"/>
    <n v="71687"/>
    <n v="4072.0005300821626"/>
    <n v="4110"/>
    <n v="71447"/>
    <n v="286"/>
    <s v="#LiveForNow"/>
    <m/>
    <m/>
    <x v="6"/>
    <m/>
    <s v="SummerSplash"/>
  </r>
  <r>
    <s v="Video"/>
    <s v="Check out our latest video on facebook!"/>
    <n v="3798"/>
    <n v="31"/>
    <n v="279"/>
    <n v="75960"/>
    <n v="3829.003672985782"/>
    <n v="4108"/>
    <n v="75813"/>
    <n v="266"/>
    <s v="#PepsiCoRefresh"/>
    <m/>
    <m/>
    <x v="6"/>
    <m/>
    <s v="SummerSplash"/>
  </r>
  <r>
    <s v="Reel"/>
    <s v="Check out our latest reel on youtube!"/>
    <n v="3774"/>
    <n v="239"/>
    <n v="39"/>
    <n v="60384"/>
    <n v="4013.0006458664548"/>
    <n v="4052"/>
    <n v="59490"/>
    <n v="241"/>
    <s v="#PepsiCoRefresh"/>
    <m/>
    <m/>
    <x v="6"/>
    <m/>
    <s v="NewYearRefresh"/>
  </r>
  <r>
    <s v="Image"/>
    <s v="Check out our latest image on facebook!"/>
    <n v="3689"/>
    <n v="48"/>
    <n v="306"/>
    <n v="40579"/>
    <n v="3737.0075408462503"/>
    <n v="4043"/>
    <n v="39588"/>
    <n v="212"/>
    <s v="#ThirstyForMore"/>
    <m/>
    <m/>
    <x v="6"/>
    <m/>
    <s v="FestiveRadiance"/>
  </r>
  <r>
    <s v="Video"/>
    <s v="Check out our latest video on instagram!"/>
    <n v="3775"/>
    <n v="16"/>
    <n v="239"/>
    <n v="33975"/>
    <n v="3791.0070345842532"/>
    <n v="4030"/>
    <n v="33310"/>
    <n v="271"/>
    <s v="#LiveForNow"/>
    <m/>
    <m/>
    <x v="6"/>
    <m/>
    <s v="FestiveRadiance"/>
  </r>
  <r>
    <s v="Reel"/>
    <s v="Check out our latest reel on twitter!"/>
    <n v="3731"/>
    <n v="115"/>
    <n v="135"/>
    <n v="55965"/>
    <n v="3846.0024122219243"/>
    <n v="3981"/>
    <n v="55436"/>
    <n v="103"/>
    <s v="#PepsiCoRefresh"/>
    <m/>
    <m/>
    <x v="6"/>
    <m/>
    <s v="SummerSplash"/>
  </r>
  <r>
    <s v="Reel"/>
    <s v="Check out our latest reel on instagram!"/>
    <n v="3256"/>
    <n v="459"/>
    <n v="266"/>
    <n v="26048"/>
    <n v="3715.0102119164621"/>
    <n v="3981"/>
    <n v="25529"/>
    <n v="143"/>
    <s v="#PepsiCoRefresh"/>
    <m/>
    <m/>
    <x v="6"/>
    <m/>
    <s v="FestiveRadiance"/>
  </r>
  <r>
    <s v="Reel"/>
    <s v="Check out our latest reel on youtube!"/>
    <n v="3065"/>
    <n v="772"/>
    <n v="142"/>
    <n v="18390"/>
    <n v="3837.0077215878196"/>
    <n v="3979"/>
    <n v="17875"/>
    <n v="200"/>
    <s v="#ThirstyForMore"/>
    <s v="#AnytimeIsPepsiTime"/>
    <m/>
    <x v="6"/>
    <m/>
    <m/>
  </r>
  <r>
    <s v="Reel"/>
    <s v="Check out our latest reel on facebook!"/>
    <n v="3663"/>
    <n v="17"/>
    <n v="295"/>
    <n v="51282"/>
    <n v="3680.0057525057523"/>
    <n v="3975"/>
    <n v="50567"/>
    <n v="84"/>
    <s v="#ThirstyForMore"/>
    <m/>
    <m/>
    <x v="6"/>
    <m/>
    <s v="NewYearRefresh"/>
  </r>
  <r>
    <s v="Carousel"/>
    <s v="Check out our latest carousel on instagram!"/>
    <n v="3099"/>
    <n v="694"/>
    <n v="171"/>
    <n v="43386"/>
    <n v="3793.0039413635736"/>
    <n v="3964"/>
    <n v="42921"/>
    <n v="52"/>
    <s v="#PepsiCoRefresh"/>
    <m/>
    <m/>
    <x v="6"/>
    <m/>
    <s v="NewYearRefresh"/>
  </r>
  <r>
    <s v="Video"/>
    <s v="Check out our latest video on youtube!"/>
    <n v="3389"/>
    <n v="344"/>
    <n v="229"/>
    <n v="20334"/>
    <n v="3733.0112619258384"/>
    <n v="3962"/>
    <n v="19443"/>
    <n v="228"/>
    <s v="#LiveForNow"/>
    <m/>
    <m/>
    <x v="6"/>
    <m/>
    <s v="NewYearRefresh"/>
  </r>
  <r>
    <s v="Image"/>
    <s v="Check out our latest image on facebook!"/>
    <n v="3090"/>
    <n v="697"/>
    <n v="164"/>
    <n v="49440"/>
    <n v="3787.0033171521036"/>
    <n v="3951"/>
    <n v="48524"/>
    <n v="25"/>
    <s v="#ThirstyForMore"/>
    <s v="#ThirstyForMore"/>
    <s v="#BetterWithPepsi"/>
    <x v="6"/>
    <m/>
    <s v="FestiveRadiance"/>
  </r>
  <r>
    <s v="Story"/>
    <s v="Check out our latest story on youtube!"/>
    <n v="3641"/>
    <n v="226"/>
    <n v="46"/>
    <n v="40051"/>
    <n v="3867.0011485356172"/>
    <n v="3913"/>
    <n v="39319"/>
    <n v="296"/>
    <s v="#ThirstyForMore"/>
    <m/>
    <m/>
    <x v="6"/>
    <m/>
    <s v="DailyWellness"/>
  </r>
  <r>
    <s v="Image"/>
    <s v="Check out our latest image on instagram!"/>
    <n v="3559"/>
    <n v="59"/>
    <n v="289"/>
    <n v="35590"/>
    <n v="3618.0081202584997"/>
    <n v="3907"/>
    <n v="35105"/>
    <n v="122"/>
    <s v="#ThirstyForMore"/>
    <m/>
    <m/>
    <x v="6"/>
    <m/>
    <s v="SummerSplash"/>
  </r>
  <r>
    <s v="Text"/>
    <s v="Check out our latest text on instagram!"/>
    <n v="3182"/>
    <n v="559"/>
    <n v="160"/>
    <n v="57276"/>
    <n v="3741.0027934911654"/>
    <n v="3901"/>
    <n v="56890"/>
    <n v="163"/>
    <s v="#LiveForNow"/>
    <m/>
    <m/>
    <x v="6"/>
    <m/>
    <s v="DailyWellness"/>
  </r>
  <r>
    <s v="Video"/>
    <s v="Check out our latest video on youtube!"/>
    <n v="2949"/>
    <n v="476"/>
    <n v="403"/>
    <n v="44235"/>
    <n v="3425.0091104329149"/>
    <n v="3828"/>
    <n v="43705"/>
    <n v="135"/>
    <s v="#PepsiCoRefresh"/>
    <m/>
    <m/>
    <x v="6"/>
    <m/>
    <s v="FestiveRadiance"/>
  </r>
  <r>
    <s v="Text"/>
    <s v="Check out our latest text on youtube!"/>
    <n v="3428"/>
    <n v="305"/>
    <n v="85"/>
    <n v="58276"/>
    <n v="3733.0014585764293"/>
    <n v="3818"/>
    <n v="58052"/>
    <n v="242"/>
    <s v="#ThirstyForMore"/>
    <s v="#BetterWithPepsi"/>
    <m/>
    <x v="6"/>
    <m/>
    <s v="DailyWellness"/>
  </r>
  <r>
    <s v="Carousel"/>
    <s v="Check out our latest carousel on facebook!"/>
    <n v="2946"/>
    <n v="498"/>
    <n v="367"/>
    <n v="29460"/>
    <n v="3444.0124575695859"/>
    <n v="3811"/>
    <n v="28527"/>
    <n v="60"/>
    <s v="#LiveForNow"/>
    <m/>
    <m/>
    <x v="6"/>
    <m/>
    <s v="NewYearRefresh"/>
  </r>
  <r>
    <s v="Video"/>
    <s v="Check out our latest video on facebook!"/>
    <n v="3371"/>
    <n v="106"/>
    <n v="327"/>
    <n v="50565"/>
    <n v="3477.0064669237613"/>
    <n v="3804"/>
    <n v="49816"/>
    <n v="176"/>
    <s v="#LiveForNow"/>
    <m/>
    <m/>
    <x v="6"/>
    <m/>
    <s v="SummerSplash"/>
  </r>
  <r>
    <s v="Carousel"/>
    <s v="Check out our latest carousel on facebook!"/>
    <n v="3073"/>
    <n v="553"/>
    <n v="174"/>
    <n v="52241"/>
    <n v="3626.0033307172525"/>
    <n v="3800"/>
    <n v="51605"/>
    <n v="246"/>
    <s v="#ThirstyForMore"/>
    <m/>
    <m/>
    <x v="6"/>
    <m/>
    <s v="NewYearRefresh"/>
  </r>
  <r>
    <s v="Reel"/>
    <s v="Check out our latest reel on youtube!"/>
    <n v="3009"/>
    <n v="413"/>
    <n v="358"/>
    <n v="42126"/>
    <n v="3422.0084983145803"/>
    <n v="3780"/>
    <n v="41309"/>
    <n v="211"/>
    <s v="#LiveForNow"/>
    <m/>
    <m/>
    <x v="6"/>
    <m/>
    <s v="FestiveRadiance"/>
  </r>
  <r>
    <s v="Carousel"/>
    <s v="Check out our latest carousel on facebook!"/>
    <n v="2696"/>
    <n v="628"/>
    <n v="443"/>
    <n v="45832"/>
    <n v="3324.0096657357303"/>
    <n v="3767"/>
    <n v="45632"/>
    <n v="248"/>
    <s v="#ThirstyForMore"/>
    <m/>
    <m/>
    <x v="6"/>
    <m/>
    <s v="DailyWellness"/>
  </r>
  <r>
    <s v="Image"/>
    <s v="Check out our latest image on twitter!"/>
    <n v="3338"/>
    <n v="277"/>
    <n v="118"/>
    <n v="60084"/>
    <n v="3615.0019639171828"/>
    <n v="3733"/>
    <n v="59842"/>
    <n v="252"/>
    <s v="#PepsiCoRefresh"/>
    <m/>
    <m/>
    <x v="6"/>
    <m/>
    <m/>
  </r>
  <r>
    <s v="Reel"/>
    <s v="Check out our latest reel on twitter!"/>
    <n v="3367"/>
    <n v="302"/>
    <n v="57"/>
    <n v="63973"/>
    <n v="3669.000891000891"/>
    <n v="3726"/>
    <n v="63789"/>
    <n v="157"/>
    <s v="#LiveForNow"/>
    <m/>
    <m/>
    <x v="6"/>
    <m/>
    <s v="FestiveRadiance"/>
  </r>
  <r>
    <s v="Reel"/>
    <s v="Check out our latest reel on instagram!"/>
    <n v="3000"/>
    <n v="382"/>
    <n v="325"/>
    <n v="36000"/>
    <n v="3382.0090277777776"/>
    <n v="3707"/>
    <n v="35819"/>
    <n v="19"/>
    <s v="#LiveForNow"/>
    <m/>
    <m/>
    <x v="6"/>
    <m/>
    <s v="SummerSplash"/>
  </r>
  <r>
    <s v="Carousel"/>
    <s v="Check out our latest carousel on youtube!"/>
    <n v="2551"/>
    <n v="915"/>
    <n v="205"/>
    <n v="30612"/>
    <n v="3466.0066967202406"/>
    <n v="3671"/>
    <n v="30360"/>
    <n v="227"/>
    <s v="#PepsiCoRefresh"/>
    <m/>
    <m/>
    <x v="6"/>
    <m/>
    <s v="FestiveRadiance"/>
  </r>
  <r>
    <s v="Video"/>
    <s v="Check out our latest video on twitter!"/>
    <n v="3160"/>
    <n v="204"/>
    <n v="297"/>
    <n v="44240"/>
    <n v="3364.0067133815551"/>
    <n v="3661"/>
    <n v="43666"/>
    <n v="49"/>
    <s v="#LiveForNow"/>
    <s v="#AnytimeIsPepsiTime"/>
    <m/>
    <x v="6"/>
    <m/>
    <s v="DailyWellness"/>
  </r>
  <r>
    <s v="Video"/>
    <s v="Check out our latest video on twitter!"/>
    <n v="2825"/>
    <n v="535"/>
    <n v="295"/>
    <n v="45200"/>
    <n v="3360.0065265486724"/>
    <n v="3655"/>
    <n v="44739"/>
    <n v="169"/>
    <s v="#PepsiCoRefresh"/>
    <m/>
    <m/>
    <x v="6"/>
    <m/>
    <s v="SummerSplash"/>
  </r>
  <r>
    <s v="Carousel"/>
    <s v="Check out our latest carousel on twitter!"/>
    <n v="2704"/>
    <n v="752"/>
    <n v="153"/>
    <n v="21632"/>
    <n v="3456.0070728550295"/>
    <n v="3609"/>
    <n v="20792"/>
    <n v="127"/>
    <s v="#LiveForNow"/>
    <m/>
    <m/>
    <x v="6"/>
    <m/>
    <m/>
  </r>
  <r>
    <s v="Text"/>
    <s v="Check out our latest text on facebook!"/>
    <n v="2634"/>
    <n v="726"/>
    <n v="241"/>
    <n v="28974"/>
    <n v="3360.0083178021673"/>
    <n v="3601"/>
    <n v="28102"/>
    <n v="277"/>
    <s v="#ThirstyForMore"/>
    <m/>
    <m/>
    <x v="6"/>
    <m/>
    <s v="SummerSplash"/>
  </r>
  <r>
    <s v="Image"/>
    <s v="Check out our latest image on youtube!"/>
    <n v="3166"/>
    <n v="90"/>
    <n v="341"/>
    <n v="56988"/>
    <n v="3256.0059837158701"/>
    <n v="3597"/>
    <n v="56125"/>
    <n v="135"/>
    <s v="#ThirstyForMore"/>
    <m/>
    <m/>
    <x v="6"/>
    <m/>
    <s v="FestiveRadiance"/>
  </r>
  <r>
    <s v="Reel"/>
    <s v="Check out our latest reel on youtube!"/>
    <n v="3138"/>
    <n v="123"/>
    <n v="291"/>
    <n v="28242"/>
    <n v="3261.0103038028469"/>
    <n v="3552"/>
    <n v="27550"/>
    <n v="87"/>
    <s v="#PepsiCoRefresh"/>
    <m/>
    <m/>
    <x v="6"/>
    <m/>
    <s v="DailyWellness"/>
  </r>
  <r>
    <s v="Image"/>
    <s v="Check out our latest image on facebook!"/>
    <n v="2878"/>
    <n v="248"/>
    <n v="416"/>
    <n v="43170"/>
    <n v="3126.0096363215198"/>
    <n v="3542"/>
    <n v="42667"/>
    <n v="75"/>
    <s v="#LiveForNow"/>
    <m/>
    <m/>
    <x v="6"/>
    <m/>
    <s v="NewYearRefresh"/>
  </r>
  <r>
    <s v="Carousel"/>
    <s v="Check out our latest carousel on twitter!"/>
    <n v="3128"/>
    <n v="211"/>
    <n v="197"/>
    <n v="59432"/>
    <n v="3339.0033147126128"/>
    <n v="3536"/>
    <n v="59182"/>
    <n v="238"/>
    <s v="#ThirstyForMore"/>
    <m/>
    <m/>
    <x v="6"/>
    <m/>
    <m/>
  </r>
  <r>
    <s v="Carousel"/>
    <s v="Check out our latest carousel on instagram!"/>
    <n v="3068"/>
    <n v="137"/>
    <n v="329"/>
    <n v="39884"/>
    <n v="3205.0082489218735"/>
    <n v="3534"/>
    <n v="39404"/>
    <n v="266"/>
    <s v="#ThirstyForMore"/>
    <m/>
    <m/>
    <x v="6"/>
    <m/>
    <s v="FestiveRadiance"/>
  </r>
  <r>
    <s v="Reel"/>
    <s v="Check out our latest reel on instagram!"/>
    <n v="2603"/>
    <n v="690"/>
    <n v="205"/>
    <n v="13015"/>
    <n v="3293.0157510564732"/>
    <n v="3498"/>
    <n v="12130"/>
    <n v="20"/>
    <s v="#LiveForNow"/>
    <m/>
    <m/>
    <x v="6"/>
    <m/>
    <s v="FestiveRadiance"/>
  </r>
  <r>
    <s v="Text"/>
    <s v="Check out our latest text on twitter!"/>
    <n v="3239"/>
    <n v="43"/>
    <n v="211"/>
    <n v="22673"/>
    <n v="3282.0093062232613"/>
    <n v="3493"/>
    <n v="22171"/>
    <n v="230"/>
    <s v="#PepsiCoRefresh"/>
    <m/>
    <m/>
    <x v="6"/>
    <m/>
    <s v="FestiveRadiance"/>
  </r>
  <r>
    <s v="Image"/>
    <s v="Check out our latest image on twitter!"/>
    <n v="3092"/>
    <n v="106"/>
    <n v="291"/>
    <n v="27828"/>
    <n v="3198.010457093575"/>
    <n v="3489"/>
    <n v="27217"/>
    <n v="102"/>
    <s v="#LiveForNow"/>
    <m/>
    <m/>
    <x v="6"/>
    <m/>
    <m/>
  </r>
  <r>
    <s v="Image"/>
    <s v="Check out our latest image on twitter!"/>
    <n v="2358"/>
    <n v="784"/>
    <n v="344"/>
    <n v="35370"/>
    <n v="3142.0097257562907"/>
    <n v="3486"/>
    <n v="34475"/>
    <n v="216"/>
    <s v="#PepsiCoRefresh"/>
    <m/>
    <m/>
    <x v="6"/>
    <m/>
    <m/>
  </r>
  <r>
    <s v="Reel"/>
    <s v="Check out our latest reel on youtube!"/>
    <n v="2728"/>
    <n v="533"/>
    <n v="215"/>
    <n v="40920"/>
    <n v="3261.0052541544478"/>
    <n v="3476"/>
    <n v="40816"/>
    <n v="137"/>
    <s v="#LiveForNow"/>
    <m/>
    <m/>
    <x v="6"/>
    <m/>
    <s v="FestiveRadiance"/>
  </r>
  <r>
    <s v="Video"/>
    <s v="Check out our latest video on twitter!"/>
    <n v="3440"/>
    <n v="13"/>
    <n v="20"/>
    <n v="58480"/>
    <n v="3453.0003419972641"/>
    <n v="3473"/>
    <n v="58146"/>
    <n v="210"/>
    <s v="#PepsiCoRefresh"/>
    <s v="#SmoothLikeNitroPepsi"/>
    <m/>
    <x v="6"/>
    <m/>
    <s v="DailyWellness"/>
  </r>
  <r>
    <s v="Reel"/>
    <s v="Check out our latest reel on youtube!"/>
    <n v="2936"/>
    <n v="439"/>
    <n v="44"/>
    <n v="38168"/>
    <n v="3375.0011527981555"/>
    <n v="3419"/>
    <n v="37571"/>
    <n v="22"/>
    <s v="#ThirstyForMore"/>
    <m/>
    <m/>
    <x v="6"/>
    <m/>
    <s v="DailyWellness"/>
  </r>
  <r>
    <s v="Carousel"/>
    <s v="Check out our latest carousel on instagram!"/>
    <n v="2234"/>
    <n v="653"/>
    <n v="432"/>
    <n v="11170"/>
    <n v="2887.0386750223815"/>
    <n v="3319"/>
    <n v="10569"/>
    <n v="198"/>
    <s v="#LiveForNow"/>
    <m/>
    <m/>
    <x v="6"/>
    <m/>
    <s v="NewYearRefresh"/>
  </r>
  <r>
    <s v="Text"/>
    <s v="Check out our latest text on facebook!"/>
    <n v="2418"/>
    <n v="754"/>
    <n v="54"/>
    <n v="43524"/>
    <n v="3172.001240694789"/>
    <n v="3226"/>
    <n v="42743"/>
    <n v="182"/>
    <s v="#ThirstyForMore"/>
    <m/>
    <m/>
    <x v="6"/>
    <m/>
    <s v="SummerSplash"/>
  </r>
  <r>
    <s v="Image"/>
    <s v="Check out our latest image on facebook!"/>
    <n v="2581"/>
    <n v="517"/>
    <n v="117"/>
    <n v="23229"/>
    <n v="3098.005036807439"/>
    <n v="3215"/>
    <n v="22331"/>
    <n v="70"/>
    <s v="#LiveForNow"/>
    <m/>
    <m/>
    <x v="6"/>
    <m/>
    <s v="NewYearRefresh"/>
  </r>
  <r>
    <s v="Carousel"/>
    <s v="Check out our latest carousel on facebook!"/>
    <n v="2751"/>
    <n v="33"/>
    <n v="430"/>
    <n v="44016"/>
    <n v="2784.0097691748456"/>
    <n v="3214"/>
    <n v="43415"/>
    <n v="129"/>
    <s v="#LiveForNow"/>
    <m/>
    <m/>
    <x v="6"/>
    <m/>
    <m/>
  </r>
  <r>
    <s v="Video"/>
    <s v="Check out our latest video on instagram!"/>
    <n v="3095"/>
    <n v="39"/>
    <n v="78"/>
    <n v="55710"/>
    <n v="3134.0014001077006"/>
    <n v="3212"/>
    <n v="54808"/>
    <n v="93"/>
    <s v="#ThirstyForMore"/>
    <m/>
    <m/>
    <x v="6"/>
    <m/>
    <m/>
  </r>
  <r>
    <s v="Video"/>
    <s v="Check out our latest video on facebook!"/>
    <n v="3008"/>
    <n v="94"/>
    <n v="37"/>
    <n v="15040"/>
    <n v="3102.0024601063828"/>
    <n v="3139"/>
    <n v="14639"/>
    <n v="277"/>
    <s v="#LiveForNow"/>
    <m/>
    <m/>
    <x v="6"/>
    <m/>
    <m/>
  </r>
  <r>
    <s v="Reel"/>
    <s v="Check out our latest reel on instagram!"/>
    <n v="1970"/>
    <n v="675"/>
    <n v="478"/>
    <n v="9850"/>
    <n v="2645.0485279187819"/>
    <n v="3123"/>
    <n v="8924"/>
    <n v="117"/>
    <s v="#LiveForNow"/>
    <m/>
    <m/>
    <x v="6"/>
    <m/>
    <m/>
  </r>
  <r>
    <s v="Image"/>
    <s v="Check out our latest image on instagram!"/>
    <n v="2647"/>
    <n v="304"/>
    <n v="170"/>
    <n v="18529"/>
    <n v="2951.009174807059"/>
    <n v="3121"/>
    <n v="17841"/>
    <n v="46"/>
    <s v="#LiveForNow"/>
    <m/>
    <m/>
    <x v="6"/>
    <m/>
    <s v="NewYearRefresh"/>
  </r>
  <r>
    <s v="Text"/>
    <s v="Check out our latest text on youtube!"/>
    <n v="2746"/>
    <n v="156"/>
    <n v="203"/>
    <n v="32952"/>
    <n v="2902.0061604758434"/>
    <n v="3105"/>
    <n v="32147"/>
    <n v="147"/>
    <s v="#ThirstyForMore"/>
    <m/>
    <m/>
    <x v="6"/>
    <m/>
    <s v="SummerSplash"/>
  </r>
  <r>
    <s v="Story"/>
    <s v="Check out our latest story on instagram!"/>
    <n v="2103"/>
    <n v="892"/>
    <n v="103"/>
    <n v="39957"/>
    <n v="2995.0025777711039"/>
    <n v="3098"/>
    <n v="39466"/>
    <n v="28"/>
    <s v="#LiveForNow"/>
    <m/>
    <m/>
    <x v="6"/>
    <m/>
    <m/>
  </r>
  <r>
    <s v="Story"/>
    <s v="Check out our latest story on twitter!"/>
    <n v="1957"/>
    <n v="877"/>
    <n v="238"/>
    <n v="17613"/>
    <n v="2834.0135127462668"/>
    <n v="3072"/>
    <n v="16865"/>
    <n v="297"/>
    <s v="#LiveForNow"/>
    <m/>
    <m/>
    <x v="6"/>
    <m/>
    <s v="NewYearRefresh"/>
  </r>
  <r>
    <s v="Carousel"/>
    <s v="Check out our latest carousel on youtube!"/>
    <n v="1686"/>
    <n v="904"/>
    <n v="472"/>
    <n v="18546"/>
    <n v="2590.0254502318558"/>
    <n v="3062"/>
    <n v="18171"/>
    <n v="52"/>
    <s v="#LiveForNow"/>
    <m/>
    <m/>
    <x v="6"/>
    <m/>
    <s v="FestiveRadiance"/>
  </r>
  <r>
    <s v="Image"/>
    <s v="Check out our latest image on facebook!"/>
    <n v="1841"/>
    <n v="851"/>
    <n v="342"/>
    <n v="34979"/>
    <n v="2692.0097772949484"/>
    <n v="3034"/>
    <n v="34154"/>
    <n v="255"/>
    <s v="#LiveForNow"/>
    <m/>
    <m/>
    <x v="6"/>
    <m/>
    <s v="DailyWellness"/>
  </r>
  <r>
    <s v="Story"/>
    <s v="Check out our latest story on instagram!"/>
    <n v="2610"/>
    <n v="126"/>
    <n v="288"/>
    <n v="15660"/>
    <n v="2736.0183908045979"/>
    <n v="3024"/>
    <n v="15145"/>
    <n v="73"/>
    <s v="#ThirstyForMore"/>
    <m/>
    <m/>
    <x v="6"/>
    <m/>
    <m/>
  </r>
  <r>
    <s v="Image"/>
    <s v="Check out our latest image on youtube!"/>
    <n v="2719"/>
    <n v="17"/>
    <n v="285"/>
    <n v="40785"/>
    <n v="2736.0069878631848"/>
    <n v="3021"/>
    <n v="40281"/>
    <n v="40"/>
    <s v="#PepsiCoRefresh"/>
    <m/>
    <m/>
    <x v="6"/>
    <m/>
    <s v="FestiveRadiance"/>
  </r>
  <r>
    <s v="Reel"/>
    <s v="Check out our latest reel on facebook!"/>
    <n v="1946"/>
    <n v="686"/>
    <n v="377"/>
    <n v="23352"/>
    <n v="2632.0161442274753"/>
    <n v="3009"/>
    <n v="22982"/>
    <n v="213"/>
    <s v="#LiveForNow"/>
    <m/>
    <m/>
    <x v="6"/>
    <m/>
    <s v="NewYearRefresh"/>
  </r>
  <r>
    <s v="Carousel"/>
    <s v="Check out our latest carousel on instagram!"/>
    <n v="2107"/>
    <n v="550"/>
    <n v="349"/>
    <n v="35819"/>
    <n v="2657.0097434322565"/>
    <n v="3006"/>
    <n v="35340"/>
    <n v="191"/>
    <s v="#ThirstyForMore"/>
    <m/>
    <m/>
    <x v="6"/>
    <m/>
    <s v="DailyWellness"/>
  </r>
  <r>
    <s v="Carousel"/>
    <s v="Check out our latest carousel on youtube!"/>
    <n v="2509"/>
    <n v="324"/>
    <n v="171"/>
    <n v="35126"/>
    <n v="2833.0048681888061"/>
    <n v="3004"/>
    <n v="34685"/>
    <n v="277"/>
    <s v="#PepsiCoRefresh"/>
    <m/>
    <m/>
    <x v="6"/>
    <m/>
    <s v="FestiveRadiance"/>
  </r>
  <r>
    <s v="Story"/>
    <s v="Check out our latest story on twitter!"/>
    <n v="2164"/>
    <n v="549"/>
    <n v="274"/>
    <n v="28132"/>
    <n v="2713.0097397980949"/>
    <n v="2987"/>
    <n v="27361"/>
    <n v="177"/>
    <s v="#PepsiCoRefresh"/>
    <m/>
    <m/>
    <x v="6"/>
    <m/>
    <s v="DailyWellness"/>
  </r>
  <r>
    <s v="Story"/>
    <s v="Check out our latest story on youtube!"/>
    <n v="2754"/>
    <n v="130"/>
    <n v="90"/>
    <n v="22032"/>
    <n v="2884.0040849673201"/>
    <n v="2974"/>
    <n v="21288"/>
    <n v="112"/>
    <s v="#PepsiCoRefresh"/>
    <m/>
    <m/>
    <x v="6"/>
    <m/>
    <s v="NewYearRefresh"/>
  </r>
  <r>
    <s v="Text"/>
    <s v="Check out our latest text on twitter!"/>
    <n v="2147"/>
    <n v="430"/>
    <n v="393"/>
    <n v="17176"/>
    <n v="2577.0228807638564"/>
    <n v="2970"/>
    <n v="16483"/>
    <n v="170"/>
    <s v="#PepsiCoRefresh"/>
    <m/>
    <m/>
    <x v="6"/>
    <m/>
    <m/>
  </r>
  <r>
    <s v="Reel"/>
    <s v="Check out our latest reel on youtube!"/>
    <n v="2795"/>
    <n v="105"/>
    <n v="49"/>
    <n v="53105"/>
    <n v="2900.0009227003106"/>
    <n v="2949"/>
    <n v="52307"/>
    <n v="204"/>
    <s v="#PepsiCoRefresh"/>
    <m/>
    <m/>
    <x v="6"/>
    <m/>
    <s v="NewYearRefresh"/>
  </r>
  <r>
    <s v="Carousel"/>
    <s v="Check out our latest carousel on facebook!"/>
    <n v="2200"/>
    <n v="504"/>
    <n v="239"/>
    <n v="37400"/>
    <n v="2704.0063903743317"/>
    <n v="2943"/>
    <n v="36938"/>
    <n v="225"/>
    <s v="#LiveForNow"/>
    <m/>
    <m/>
    <x v="6"/>
    <m/>
    <s v="FestiveRadiance"/>
  </r>
  <r>
    <s v="Reel"/>
    <s v="Check out our latest reel on facebook!"/>
    <n v="1741"/>
    <n v="831"/>
    <n v="345"/>
    <n v="17410"/>
    <n v="2572.0198161975877"/>
    <n v="2917"/>
    <n v="16844"/>
    <n v="58"/>
    <s v="#ThirstyForMore"/>
    <m/>
    <m/>
    <x v="6"/>
    <m/>
    <s v="NewYearRefresh"/>
  </r>
  <r>
    <s v="Story"/>
    <s v="Check out our latest story on instagram!"/>
    <n v="2404"/>
    <n v="363"/>
    <n v="138"/>
    <n v="19232"/>
    <n v="2767.0071755407653"/>
    <n v="2905"/>
    <n v="18636"/>
    <n v="128"/>
    <s v="#ThirstyForMore"/>
    <m/>
    <m/>
    <x v="6"/>
    <m/>
    <s v="DailyWellness"/>
  </r>
  <r>
    <s v="Story"/>
    <s v="Check out our latest story on instagram!"/>
    <n v="1792"/>
    <n v="614"/>
    <n v="497"/>
    <n v="25088"/>
    <n v="2406.0198102678573"/>
    <n v="2903"/>
    <n v="24675"/>
    <n v="65"/>
    <s v="#LiveForNow"/>
    <m/>
    <m/>
    <x v="6"/>
    <m/>
    <s v="DailyWellness"/>
  </r>
  <r>
    <s v="Story"/>
    <s v="Check out our latest story on instagram!"/>
    <n v="1947"/>
    <n v="842"/>
    <n v="101"/>
    <n v="21417"/>
    <n v="2789.0047158799084"/>
    <n v="2890"/>
    <n v="20967"/>
    <n v="186"/>
    <s v="#LiveForNow"/>
    <m/>
    <m/>
    <x v="6"/>
    <m/>
    <s v="FestiveRadiance"/>
  </r>
  <r>
    <s v="Image"/>
    <s v="Check out our latest image on twitter!"/>
    <n v="2692"/>
    <n v="115"/>
    <n v="64"/>
    <n v="21536"/>
    <n v="2807.0029717682019"/>
    <n v="2871"/>
    <n v="21120"/>
    <n v="224"/>
    <s v="#LiveForNow"/>
    <m/>
    <m/>
    <x v="6"/>
    <m/>
    <s v="FestiveRadiance"/>
  </r>
  <r>
    <s v="Image"/>
    <s v="Check out our latest image on facebook!"/>
    <n v="2291"/>
    <n v="78"/>
    <n v="485"/>
    <n v="18328"/>
    <n v="2369.0264622435616"/>
    <n v="2854"/>
    <n v="18101"/>
    <n v="10"/>
    <s v="#ThirstyForMore"/>
    <s v="#SmoothLikeNitroPepsi"/>
    <m/>
    <x v="6"/>
    <m/>
    <s v="FestiveRadiance"/>
  </r>
  <r>
    <s v="Carousel"/>
    <s v="Check out our latest carousel on instagram!"/>
    <n v="2174"/>
    <n v="658"/>
    <n v="15"/>
    <n v="13044"/>
    <n v="2832.0011499540019"/>
    <n v="2847"/>
    <n v="12206"/>
    <n v="137"/>
    <s v="#PepsiCoRefresh"/>
    <m/>
    <m/>
    <x v="6"/>
    <m/>
    <s v="NewYearRefresh"/>
  </r>
  <r>
    <s v="Carousel"/>
    <s v="Check out our latest carousel on twitter!"/>
    <n v="1877"/>
    <n v="745"/>
    <n v="225"/>
    <n v="11262"/>
    <n v="2622.0199786893982"/>
    <n v="2847"/>
    <n v="10967"/>
    <n v="41"/>
    <s v="#ThirstyForMore"/>
    <m/>
    <m/>
    <x v="6"/>
    <m/>
    <s v="DailyWellness"/>
  </r>
  <r>
    <s v="Story"/>
    <s v="Check out our latest story on twitter!"/>
    <n v="1575"/>
    <n v="771"/>
    <n v="486"/>
    <n v="25200"/>
    <n v="2346.0192857142856"/>
    <n v="2832"/>
    <n v="24826"/>
    <n v="17"/>
    <s v="#LiveForNow"/>
    <m/>
    <m/>
    <x v="6"/>
    <m/>
    <s v="DailyWellness"/>
  </r>
  <r>
    <s v="Text"/>
    <s v="Check out our latest text on instagram!"/>
    <n v="2180"/>
    <n v="263"/>
    <n v="387"/>
    <n v="30520"/>
    <n v="2443.0126802096984"/>
    <n v="2830"/>
    <n v="30059"/>
    <n v="174"/>
    <s v="#ThirstyForMore"/>
    <m/>
    <m/>
    <x v="6"/>
    <m/>
    <m/>
  </r>
  <r>
    <s v="Reel"/>
    <s v="Check out our latest reel on facebook!"/>
    <n v="1814"/>
    <n v="653"/>
    <n v="363"/>
    <n v="25396"/>
    <n v="2467.0142935895415"/>
    <n v="2830"/>
    <n v="25286"/>
    <n v="39"/>
    <s v="#LiveForNow"/>
    <s v="#SmoothLikeNitroPepsi"/>
    <m/>
    <x v="6"/>
    <m/>
    <s v="SummerSplash"/>
  </r>
  <r>
    <s v="Carousel"/>
    <s v="Check out our latest carousel on facebook!"/>
    <n v="1869"/>
    <n v="453"/>
    <n v="490"/>
    <n v="14952"/>
    <n v="2322.0327715355807"/>
    <n v="2812"/>
    <n v="14309"/>
    <n v="275"/>
    <s v="#PepsiCoRefresh"/>
    <m/>
    <m/>
    <x v="6"/>
    <m/>
    <s v="DailyWellness"/>
  </r>
  <r>
    <s v="Image"/>
    <s v="Check out our latest image on facebook!"/>
    <n v="2382"/>
    <n v="265"/>
    <n v="134"/>
    <n v="38112"/>
    <n v="2647.0035159529807"/>
    <n v="2781"/>
    <n v="37437"/>
    <n v="249"/>
    <s v="#LiveForNow"/>
    <m/>
    <m/>
    <x v="6"/>
    <m/>
    <s v="DailyWellness"/>
  </r>
  <r>
    <s v="Story"/>
    <s v="Check out our latest story on facebook!"/>
    <n v="2120"/>
    <n v="158"/>
    <n v="488"/>
    <n v="12720"/>
    <n v="2278.0383647798744"/>
    <n v="2766"/>
    <n v="12085"/>
    <n v="17"/>
    <s v="#LiveForNow"/>
    <m/>
    <m/>
    <x v="6"/>
    <m/>
    <s v="FestiveRadiance"/>
  </r>
  <r>
    <s v="Story"/>
    <s v="Check out our latest story on youtube!"/>
    <n v="2070"/>
    <n v="275"/>
    <n v="386"/>
    <n v="39330"/>
    <n v="2345.00981439105"/>
    <n v="2731"/>
    <n v="38627"/>
    <n v="114"/>
    <s v="#LiveForNow"/>
    <m/>
    <m/>
    <x v="6"/>
    <m/>
    <s v="DailyWellness"/>
  </r>
  <r>
    <s v="Story"/>
    <s v="Check out our latest story on twitter!"/>
    <n v="1950"/>
    <n v="295"/>
    <n v="478"/>
    <n v="37050"/>
    <n v="2245.0129014844806"/>
    <n v="2723"/>
    <n v="36272"/>
    <n v="119"/>
    <s v="#PepsiCoRefresh"/>
    <m/>
    <m/>
    <x v="6"/>
    <m/>
    <m/>
  </r>
  <r>
    <s v="Carousel"/>
    <s v="Check out our latest carousel on instagram!"/>
    <n v="2566"/>
    <n v="118"/>
    <n v="37"/>
    <n v="12830"/>
    <n v="2684.0028838659391"/>
    <n v="2721"/>
    <n v="12264"/>
    <n v="221"/>
    <s v="#LiveForNow"/>
    <m/>
    <m/>
    <x v="6"/>
    <m/>
    <s v="NewYearRefresh"/>
  </r>
  <r>
    <s v="Video"/>
    <s v="Check out our latest video on twitter!"/>
    <n v="1436"/>
    <n v="765"/>
    <n v="496"/>
    <n v="12924"/>
    <n v="2201.0383782110803"/>
    <n v="2697"/>
    <n v="12701"/>
    <n v="197"/>
    <s v="#LiveForNow"/>
    <m/>
    <m/>
    <x v="6"/>
    <m/>
    <s v="NewYearRefresh"/>
  </r>
  <r>
    <s v="Reel"/>
    <s v="Check out our latest reel on youtube!"/>
    <n v="1543"/>
    <n v="820"/>
    <n v="333"/>
    <n v="12344"/>
    <n v="2363.026976668827"/>
    <n v="2696"/>
    <n v="11496"/>
    <n v="241"/>
    <s v="#ThirstyForMore"/>
    <m/>
    <m/>
    <x v="6"/>
    <m/>
    <m/>
  </r>
  <r>
    <s v="Image"/>
    <s v="Check out our latest image on facebook!"/>
    <n v="2072"/>
    <n v="532"/>
    <n v="71"/>
    <n v="37296"/>
    <n v="2604.0019036894037"/>
    <n v="2675"/>
    <n v="36467"/>
    <n v="25"/>
    <s v="#PepsiCoRefresh"/>
    <m/>
    <m/>
    <x v="6"/>
    <m/>
    <s v="DailyWellness"/>
  </r>
  <r>
    <s v="Reel"/>
    <s v="Check out our latest reel on instagram!"/>
    <n v="1674"/>
    <n v="929"/>
    <n v="37"/>
    <n v="21762"/>
    <n v="2603.0017002113777"/>
    <n v="2640"/>
    <n v="20998"/>
    <n v="255"/>
    <s v="#PepsiCoRefresh"/>
    <m/>
    <m/>
    <x v="6"/>
    <m/>
    <s v="DailyWellness"/>
  </r>
  <r>
    <s v="Text"/>
    <s v="Check out our latest text on twitter!"/>
    <n v="2166"/>
    <n v="354"/>
    <n v="117"/>
    <n v="10830"/>
    <n v="2520.0108033240999"/>
    <n v="2637"/>
    <n v="10245"/>
    <n v="24"/>
    <s v="#ThirstyForMore"/>
    <m/>
    <m/>
    <x v="6"/>
    <m/>
    <s v="DailyWellness"/>
  </r>
  <r>
    <s v="Image"/>
    <s v="Check out our latest image on twitter!"/>
    <n v="2493"/>
    <n v="97"/>
    <n v="44"/>
    <n v="42381"/>
    <n v="2590.0010382010805"/>
    <n v="2634"/>
    <n v="41991"/>
    <n v="242"/>
    <s v="#PepsiCoRefresh"/>
    <s v="#AnytimeIsPepsiTime"/>
    <m/>
    <x v="6"/>
    <m/>
    <s v="DailyWellness"/>
  </r>
  <r>
    <s v="Carousel"/>
    <s v="Check out our latest carousel on facebook!"/>
    <n v="2089"/>
    <n v="476"/>
    <n v="69"/>
    <n v="16712"/>
    <n v="2565.0041287697463"/>
    <n v="2634"/>
    <n v="16309"/>
    <n v="64"/>
    <s v="#LiveForNow"/>
    <m/>
    <m/>
    <x v="6"/>
    <m/>
    <s v="NewYearRefresh"/>
  </r>
  <r>
    <s v="Video"/>
    <s v="Check out our latest video on twitter!"/>
    <n v="1702"/>
    <n v="750"/>
    <n v="179"/>
    <n v="34040"/>
    <n v="2452.0052585193889"/>
    <n v="2631"/>
    <n v="33174"/>
    <n v="76"/>
    <s v="#ThirstyForMore"/>
    <m/>
    <m/>
    <x v="6"/>
    <m/>
    <s v="SummerSplash"/>
  </r>
  <r>
    <s v="Image"/>
    <s v="Check out our latest image on youtube!"/>
    <n v="2283"/>
    <n v="210"/>
    <n v="130"/>
    <n v="22830"/>
    <n v="2493.0056942619362"/>
    <n v="2623"/>
    <n v="22617"/>
    <n v="143"/>
    <s v="#LiveForNow"/>
    <m/>
    <m/>
    <x v="6"/>
    <m/>
    <s v="FestiveRadiance"/>
  </r>
  <r>
    <s v="Image"/>
    <s v="Check out our latest image on twitter!"/>
    <n v="2214"/>
    <n v="249"/>
    <n v="152"/>
    <n v="15498"/>
    <n v="2463.0098077171247"/>
    <n v="2615"/>
    <n v="14800"/>
    <n v="180"/>
    <s v="#ThirstyForMore"/>
    <m/>
    <m/>
    <x v="6"/>
    <m/>
    <m/>
  </r>
  <r>
    <s v="Carousel"/>
    <s v="Check out our latest carousel on twitter!"/>
    <n v="2278"/>
    <n v="10"/>
    <n v="321"/>
    <n v="13668"/>
    <n v="2288.0234855136086"/>
    <n v="2609"/>
    <n v="12676"/>
    <n v="275"/>
    <s v="#ThirstyForMore"/>
    <m/>
    <m/>
    <x v="6"/>
    <m/>
    <s v="SummerSplash"/>
  </r>
  <r>
    <s v="Story"/>
    <s v="Check out our latest story on instagram!"/>
    <n v="1762"/>
    <n v="405"/>
    <n v="423"/>
    <n v="22906"/>
    <n v="2167.0184667772637"/>
    <n v="2590"/>
    <n v="21925"/>
    <n v="25"/>
    <s v="#PepsiCoRefresh"/>
    <m/>
    <m/>
    <x v="6"/>
    <m/>
    <s v="SummerSplash"/>
  </r>
  <r>
    <s v="Image"/>
    <s v="Check out our latest image on twitter!"/>
    <n v="1952"/>
    <n v="344"/>
    <n v="287"/>
    <n v="15616"/>
    <n v="2296.0183785860654"/>
    <n v="2583"/>
    <n v="15403"/>
    <n v="235"/>
    <s v="#LiveForNow"/>
    <s v="#PepsiCoRefresh"/>
    <s v="#AnytimeIsPepsiTime"/>
    <x v="6"/>
    <m/>
    <s v="FestiveRadiance"/>
  </r>
  <r>
    <s v="Carousel"/>
    <s v="Check out our latest carousel on instagram!"/>
    <n v="1377"/>
    <n v="796"/>
    <n v="387"/>
    <n v="22032"/>
    <n v="2173.017565359477"/>
    <n v="2560"/>
    <n v="21869"/>
    <n v="189"/>
    <s v="#LiveForNow"/>
    <m/>
    <m/>
    <x v="6"/>
    <m/>
    <m/>
  </r>
  <r>
    <s v="Text"/>
    <s v="Check out our latest text on instagram!"/>
    <n v="1813"/>
    <n v="623"/>
    <n v="72"/>
    <n v="19943"/>
    <n v="2436.0036102893246"/>
    <n v="2508"/>
    <n v="18959"/>
    <n v="85"/>
    <s v="#ThirstyForMore"/>
    <m/>
    <m/>
    <x v="6"/>
    <m/>
    <s v="NewYearRefresh"/>
  </r>
  <r>
    <s v="Story"/>
    <s v="Check out our latest story on instagram!"/>
    <n v="1881"/>
    <n v="501"/>
    <n v="99"/>
    <n v="20691"/>
    <n v="2382.0047846889952"/>
    <n v="2481"/>
    <n v="19987"/>
    <n v="289"/>
    <s v="#ThirstyForMore"/>
    <m/>
    <m/>
    <x v="6"/>
    <m/>
    <m/>
  </r>
  <r>
    <s v="Video"/>
    <s v="Check out our latest video on facebook!"/>
    <n v="1606"/>
    <n v="547"/>
    <n v="316"/>
    <n v="32120"/>
    <n v="2153.0098381070984"/>
    <n v="2469"/>
    <n v="31736"/>
    <n v="225"/>
    <s v="#PepsiCoRefresh"/>
    <s v="#AnytimeIsPepsiTime"/>
    <m/>
    <x v="6"/>
    <m/>
    <s v="FestiveRadiance"/>
  </r>
  <r>
    <s v="Image"/>
    <s v="Check out our latest image on twitter!"/>
    <n v="1606"/>
    <n v="451"/>
    <n v="405"/>
    <n v="20878"/>
    <n v="2057.0193984098096"/>
    <n v="2462"/>
    <n v="20190"/>
    <n v="219"/>
    <s v="#ThirstyForMore"/>
    <m/>
    <m/>
    <x v="6"/>
    <m/>
    <s v="DailyWellness"/>
  </r>
  <r>
    <s v="Image"/>
    <s v="Check out our latest image on facebook!"/>
    <n v="1871"/>
    <n v="252"/>
    <n v="335"/>
    <n v="29936"/>
    <n v="2123.0111905398185"/>
    <n v="2458"/>
    <n v="29576"/>
    <n v="288"/>
    <s v="#ThirstyForMore"/>
    <m/>
    <m/>
    <x v="6"/>
    <m/>
    <s v="NewYearRefresh"/>
  </r>
  <r>
    <s v="Text"/>
    <s v="Check out our latest text on twitter!"/>
    <n v="1292"/>
    <n v="626"/>
    <n v="496"/>
    <n v="25840"/>
    <n v="1918.0191950464396"/>
    <n v="2414"/>
    <n v="24916"/>
    <n v="149"/>
    <s v="#LiveForNow"/>
    <m/>
    <m/>
    <x v="6"/>
    <m/>
    <s v="NewYearRefresh"/>
  </r>
  <r>
    <s v="Video"/>
    <s v="Check out our latest video on instagram!"/>
    <n v="1431"/>
    <n v="951"/>
    <n v="26"/>
    <n v="8586"/>
    <n v="2382.0030281854183"/>
    <n v="2408"/>
    <n v="8396"/>
    <n v="150"/>
    <s v="#ThirstyForMore"/>
    <m/>
    <m/>
    <x v="6"/>
    <m/>
    <s v="NewYearRefresh"/>
  </r>
  <r>
    <s v="Text"/>
    <s v="Check out our latest text on youtube!"/>
    <n v="2076"/>
    <n v="195"/>
    <n v="104"/>
    <n v="33216"/>
    <n v="2271.0031310211948"/>
    <n v="2375"/>
    <n v="32244"/>
    <n v="51"/>
    <s v="#LiveForNow"/>
    <m/>
    <m/>
    <x v="6"/>
    <m/>
    <s v="DailyWellness"/>
  </r>
  <r>
    <s v="Carousel"/>
    <s v="Check out our latest carousel on twitter!"/>
    <n v="2120"/>
    <n v="38"/>
    <n v="212"/>
    <n v="12720"/>
    <n v="2158.0166666666669"/>
    <n v="2370"/>
    <n v="12564"/>
    <n v="21"/>
    <s v="#LiveForNow"/>
    <m/>
    <m/>
    <x v="6"/>
    <m/>
    <s v="DailyWellness"/>
  </r>
  <r>
    <s v="Carousel"/>
    <s v="Check out our latest carousel on youtube!"/>
    <n v="2143"/>
    <n v="12"/>
    <n v="204"/>
    <n v="40717"/>
    <n v="2155.005010192303"/>
    <n v="2359"/>
    <n v="40125"/>
    <n v="248"/>
    <s v="#ThirstyForMore"/>
    <m/>
    <m/>
    <x v="6"/>
    <m/>
    <s v="FestiveRadiance"/>
  </r>
  <r>
    <s v="Reel"/>
    <s v="Check out our latest reel on twitter!"/>
    <n v="1644"/>
    <n v="546"/>
    <n v="150"/>
    <n v="27948"/>
    <n v="2190.0053671103478"/>
    <n v="2340"/>
    <n v="27184"/>
    <n v="300"/>
    <s v="#ThirstyForMore"/>
    <m/>
    <m/>
    <x v="6"/>
    <m/>
    <s v="NewYearRefresh"/>
  </r>
  <r>
    <s v="Video"/>
    <s v="Check out our latest video on twitter!"/>
    <n v="1330"/>
    <n v="925"/>
    <n v="35"/>
    <n v="15960"/>
    <n v="2255.0021929824561"/>
    <n v="2290"/>
    <n v="15379"/>
    <n v="229"/>
    <s v="#LiveForNow"/>
    <m/>
    <m/>
    <x v="6"/>
    <m/>
    <s v="NewYearRefresh"/>
  </r>
  <r>
    <s v="Video"/>
    <s v="Check out our latest video on youtube!"/>
    <n v="1766"/>
    <n v="92"/>
    <n v="424"/>
    <n v="24724"/>
    <n v="1858.0171493285877"/>
    <n v="2282"/>
    <n v="24333"/>
    <n v="52"/>
    <s v="#ThirstyForMore"/>
    <m/>
    <m/>
    <x v="6"/>
    <m/>
    <m/>
  </r>
  <r>
    <s v="Reel"/>
    <s v="Check out our latest reel on youtube!"/>
    <n v="1855"/>
    <n v="200"/>
    <n v="174"/>
    <n v="16695"/>
    <n v="2055.0104222821205"/>
    <n v="2229"/>
    <n v="16330"/>
    <n v="123"/>
    <s v="#PepsiCoRefresh"/>
    <m/>
    <m/>
    <x v="6"/>
    <m/>
    <s v="NewYearRefresh"/>
  </r>
  <r>
    <s v="Carousel"/>
    <s v="Check out our latest carousel on instagram!"/>
    <n v="1741"/>
    <n v="164"/>
    <n v="318"/>
    <n v="8705"/>
    <n v="1905.0365307294658"/>
    <n v="2223"/>
    <n v="8272"/>
    <n v="121"/>
    <s v="#PepsiCoRefresh"/>
    <m/>
    <m/>
    <x v="6"/>
    <m/>
    <m/>
  </r>
  <r>
    <s v="Carousel"/>
    <s v="Check out our latest carousel on instagram!"/>
    <n v="985"/>
    <n v="932"/>
    <n v="287"/>
    <n v="6895"/>
    <n v="1917.0416243654822"/>
    <n v="2204"/>
    <n v="6757"/>
    <n v="64"/>
    <s v="#LiveForNow"/>
    <m/>
    <m/>
    <x v="6"/>
    <m/>
    <s v="DailyWellness"/>
  </r>
  <r>
    <s v="Text"/>
    <s v="Check out our latest text on youtube!"/>
    <n v="1963"/>
    <n v="213"/>
    <n v="19"/>
    <n v="39260"/>
    <n v="2176.000483953133"/>
    <n v="2195"/>
    <n v="38771"/>
    <n v="145"/>
    <s v="#LiveForNow"/>
    <m/>
    <m/>
    <x v="6"/>
    <m/>
    <m/>
  </r>
  <r>
    <s v="Image"/>
    <s v="Check out our latest image on facebook!"/>
    <n v="1407"/>
    <n v="400"/>
    <n v="351"/>
    <n v="16884"/>
    <n v="1807.02078891258"/>
    <n v="2158"/>
    <n v="15954"/>
    <n v="113"/>
    <s v="#PepsiCoRefresh"/>
    <m/>
    <m/>
    <x v="6"/>
    <m/>
    <s v="SummerSplash"/>
  </r>
  <r>
    <s v="Reel"/>
    <s v="Check out our latest reel on twitter!"/>
    <n v="1000"/>
    <n v="978"/>
    <n v="162"/>
    <n v="6000"/>
    <n v="1978.027"/>
    <n v="2140"/>
    <n v="5221"/>
    <n v="223"/>
    <s v="#ThirstyForMore"/>
    <m/>
    <m/>
    <x v="6"/>
    <m/>
    <s v="FestiveRadiance"/>
  </r>
  <r>
    <s v="Carousel"/>
    <s v="Check out our latest carousel on instagram!"/>
    <n v="1878"/>
    <n v="62"/>
    <n v="179"/>
    <n v="37560"/>
    <n v="1940.0047657082002"/>
    <n v="2119"/>
    <n v="36874"/>
    <n v="142"/>
    <s v="#PepsiCoRefresh"/>
    <m/>
    <m/>
    <x v="6"/>
    <m/>
    <s v="DailyWellness"/>
  </r>
  <r>
    <s v="Reel"/>
    <s v="Check out our latest reel on instagram!"/>
    <n v="1164"/>
    <n v="616"/>
    <n v="324"/>
    <n v="6984"/>
    <n v="1780.0463917525774"/>
    <n v="2104"/>
    <n v="6636"/>
    <n v="82"/>
    <s v="#ThirstyForMore"/>
    <m/>
    <m/>
    <x v="6"/>
    <m/>
    <s v="SummerSplash"/>
  </r>
  <r>
    <s v="Text"/>
    <s v="Check out our latest text on facebook!"/>
    <n v="1652"/>
    <n v="89"/>
    <n v="357"/>
    <n v="29736"/>
    <n v="1741.0120056497176"/>
    <n v="2098"/>
    <n v="28771"/>
    <n v="215"/>
    <s v="#PepsiCoRefresh"/>
    <m/>
    <m/>
    <x v="6"/>
    <m/>
    <s v="NewYearRefresh"/>
  </r>
  <r>
    <s v="Video"/>
    <s v="Check out our latest video on instagram!"/>
    <n v="1488"/>
    <n v="417"/>
    <n v="168"/>
    <n v="19344"/>
    <n v="1905.0086848635235"/>
    <n v="2073"/>
    <n v="18395"/>
    <n v="30"/>
    <s v="#LiveForNow"/>
    <m/>
    <m/>
    <x v="6"/>
    <m/>
    <s v="NewYearRefresh"/>
  </r>
  <r>
    <s v="Image"/>
    <s v="Check out our latest image on twitter!"/>
    <n v="1238"/>
    <n v="366"/>
    <n v="444"/>
    <n v="19808"/>
    <n v="1604.0224151857835"/>
    <n v="2048"/>
    <n v="19334"/>
    <n v="123"/>
    <s v="#LiveForNow"/>
    <m/>
    <m/>
    <x v="6"/>
    <m/>
    <m/>
  </r>
  <r>
    <s v="Video"/>
    <s v="Check out our latest video on instagram!"/>
    <n v="1176"/>
    <n v="464"/>
    <n v="394"/>
    <n v="14112"/>
    <n v="1640.0279195011337"/>
    <n v="2034"/>
    <n v="13588"/>
    <n v="272"/>
    <s v="#ThirstyForMore"/>
    <m/>
    <m/>
    <x v="6"/>
    <m/>
    <m/>
  </r>
  <r>
    <s v="Text"/>
    <s v="Check out our latest text on facebook!"/>
    <n v="1570"/>
    <n v="187"/>
    <n v="260"/>
    <n v="25120"/>
    <n v="1757.0103503184714"/>
    <n v="2017"/>
    <n v="24613"/>
    <n v="133"/>
    <s v="#PepsiCoRefresh"/>
    <m/>
    <m/>
    <x v="6"/>
    <m/>
    <s v="DailyWellness"/>
  </r>
  <r>
    <s v="Image"/>
    <s v="Check out our latest image on facebook!"/>
    <n v="1263"/>
    <n v="397"/>
    <n v="357"/>
    <n v="25260"/>
    <n v="1660.0141330166271"/>
    <n v="2017"/>
    <n v="24615"/>
    <n v="137"/>
    <s v="#ThirstyForMore"/>
    <m/>
    <m/>
    <x v="6"/>
    <m/>
    <s v="DailyWellness"/>
  </r>
  <r>
    <s v="Story"/>
    <s v="Check out our latest story on facebook!"/>
    <n v="780"/>
    <n v="928"/>
    <n v="301"/>
    <n v="8580"/>
    <n v="1708.0350815850816"/>
    <n v="2009"/>
    <n v="8081"/>
    <n v="91"/>
    <s v="#ThirstyForMore"/>
    <m/>
    <m/>
    <x v="6"/>
    <m/>
    <s v="NewYearRefresh"/>
  </r>
  <r>
    <s v="Reel"/>
    <s v="Check out our latest reel on twitter!"/>
    <n v="1461"/>
    <n v="184"/>
    <n v="344"/>
    <n v="21915"/>
    <n v="1645.0156970111796"/>
    <n v="1989"/>
    <n v="21675"/>
    <n v="15"/>
    <s v="#LiveForNow"/>
    <s v="#AnytimeIsPepsiTime"/>
    <m/>
    <x v="6"/>
    <m/>
    <s v="SummerSplash"/>
  </r>
  <r>
    <s v="Video"/>
    <s v="Check out our latest video on instagram!"/>
    <n v="904"/>
    <n v="973"/>
    <n v="63"/>
    <n v="11752"/>
    <n v="1877.0053607896527"/>
    <n v="1940"/>
    <n v="11580"/>
    <n v="84"/>
    <s v="#ThirstyForMore"/>
    <s v="#PepsiCoRefresh"/>
    <s v="#AnytimeIsPepsiTime"/>
    <x v="6"/>
    <m/>
    <s v="NewYearRefresh"/>
  </r>
  <r>
    <s v="Story"/>
    <s v="Check out our latest story on instagram!"/>
    <n v="1816"/>
    <n v="29"/>
    <n v="41"/>
    <n v="19976"/>
    <n v="1845.0020524629556"/>
    <n v="1886"/>
    <n v="19262"/>
    <n v="283"/>
    <s v="#PepsiCoRefresh"/>
    <m/>
    <m/>
    <x v="6"/>
    <m/>
    <s v="NewYearRefresh"/>
  </r>
  <r>
    <s v="Carousel"/>
    <s v="Check out our latest carousel on twitter!"/>
    <n v="1556"/>
    <n v="195"/>
    <n v="131"/>
    <n v="9336"/>
    <n v="1751.0140317052271"/>
    <n v="1882"/>
    <n v="8875"/>
    <n v="137"/>
    <s v="#PepsiCoRefresh"/>
    <m/>
    <m/>
    <x v="6"/>
    <m/>
    <s v="FestiveRadiance"/>
  </r>
  <r>
    <s v="Image"/>
    <s v="Check out our latest image on twitter!"/>
    <n v="1048"/>
    <n v="374"/>
    <n v="450"/>
    <n v="9432"/>
    <n v="1422.0477099236641"/>
    <n v="1872"/>
    <n v="8882"/>
    <n v="158"/>
    <s v="#PepsiCoRefresh"/>
    <m/>
    <m/>
    <x v="6"/>
    <m/>
    <s v="NewYearRefresh"/>
  </r>
  <r>
    <s v="Image"/>
    <s v="Check out our latest image on youtube!"/>
    <n v="606"/>
    <n v="789"/>
    <n v="470"/>
    <n v="7878"/>
    <n v="1395.0596598121351"/>
    <n v="1865"/>
    <n v="7389"/>
    <n v="239"/>
    <s v="#ThirstyForMore"/>
    <m/>
    <m/>
    <x v="6"/>
    <m/>
    <s v="NewYearRefresh"/>
  </r>
  <r>
    <s v="Text"/>
    <s v="Check out our latest text on instagram!"/>
    <n v="1430"/>
    <n v="376"/>
    <n v="33"/>
    <n v="21450"/>
    <n v="1806.0015384615385"/>
    <n v="1839"/>
    <n v="20509"/>
    <n v="251"/>
    <s v="#LiveForNow"/>
    <m/>
    <m/>
    <x v="6"/>
    <m/>
    <s v="SummerSplash"/>
  </r>
  <r>
    <s v="Text"/>
    <s v="Check out our latest text on facebook!"/>
    <n v="1272"/>
    <n v="465"/>
    <n v="99"/>
    <n v="24168"/>
    <n v="1737.00409632572"/>
    <n v="1836"/>
    <n v="23719"/>
    <n v="42"/>
    <s v="#PepsiCoRefresh"/>
    <m/>
    <m/>
    <x v="6"/>
    <m/>
    <m/>
  </r>
  <r>
    <s v="Reel"/>
    <s v="Check out our latest reel on twitter!"/>
    <n v="1188"/>
    <n v="470"/>
    <n v="174"/>
    <n v="7128"/>
    <n v="1658.0244107744109"/>
    <n v="1832"/>
    <n v="6145"/>
    <n v="270"/>
    <s v="#PepsiCoRefresh"/>
    <m/>
    <m/>
    <x v="6"/>
    <m/>
    <s v="DailyWellness"/>
  </r>
  <r>
    <s v="Video"/>
    <s v="Check out our latest video on youtube!"/>
    <n v="1018"/>
    <n v="447"/>
    <n v="332"/>
    <n v="18324"/>
    <n v="1465.0181183147783"/>
    <n v="1797"/>
    <n v="18164"/>
    <n v="38"/>
    <s v="#LiveForNow"/>
    <m/>
    <m/>
    <x v="6"/>
    <m/>
    <s v="FestiveRadiance"/>
  </r>
  <r>
    <s v="Story"/>
    <s v="Check out our latest story on facebook!"/>
    <n v="1249"/>
    <n v="116"/>
    <n v="420"/>
    <n v="8743"/>
    <n v="1365.0480384307446"/>
    <n v="1785"/>
    <n v="8538"/>
    <n v="63"/>
    <s v="#PepsiCoRefresh"/>
    <m/>
    <m/>
    <x v="6"/>
    <m/>
    <m/>
  </r>
  <r>
    <s v="Video"/>
    <s v="Check out our latest video on twitter!"/>
    <n v="1082"/>
    <n v="209"/>
    <n v="484"/>
    <n v="19476"/>
    <n v="1291.0248510987883"/>
    <n v="1775"/>
    <n v="18654"/>
    <n v="20"/>
    <s v="#PepsiCoRefresh"/>
    <m/>
    <m/>
    <x v="6"/>
    <m/>
    <m/>
  </r>
  <r>
    <s v="Story"/>
    <s v="Check out our latest story on youtube!"/>
    <n v="1509"/>
    <n v="88"/>
    <n v="163"/>
    <n v="30180"/>
    <n v="1597.0054009277667"/>
    <n v="1760"/>
    <n v="29689"/>
    <n v="119"/>
    <s v="#ThirstyForMore"/>
    <m/>
    <m/>
    <x v="6"/>
    <m/>
    <s v="FestiveRadiance"/>
  </r>
  <r>
    <s v="Carousel"/>
    <s v="Check out our latest carousel on youtube!"/>
    <n v="736"/>
    <n v="771"/>
    <n v="225"/>
    <n v="5152"/>
    <n v="1507.0436723602484"/>
    <n v="1732"/>
    <n v="4706"/>
    <n v="19"/>
    <s v="#ThirstyForMore"/>
    <m/>
    <m/>
    <x v="6"/>
    <m/>
    <s v="SummerSplash"/>
  </r>
  <r>
    <s v="Reel"/>
    <s v="Check out our latest reel on twitter!"/>
    <n v="1076"/>
    <n v="313"/>
    <n v="306"/>
    <n v="11836"/>
    <n v="1389.0258533288272"/>
    <n v="1695"/>
    <n v="11596"/>
    <n v="104"/>
    <s v="#LiveForNow"/>
    <m/>
    <m/>
    <x v="6"/>
    <m/>
    <s v="SummerSplash"/>
  </r>
  <r>
    <s v="Carousel"/>
    <s v="Check out our latest carousel on youtube!"/>
    <n v="1171"/>
    <n v="286"/>
    <n v="231"/>
    <n v="22249"/>
    <n v="1457.0103824891007"/>
    <n v="1688"/>
    <n v="21282"/>
    <n v="114"/>
    <s v="#ThirstyForMore"/>
    <m/>
    <m/>
    <x v="6"/>
    <m/>
    <s v="SummerSplash"/>
  </r>
  <r>
    <s v="Image"/>
    <s v="Check out our latest image on facebook!"/>
    <n v="947"/>
    <n v="338"/>
    <n v="350"/>
    <n v="10417"/>
    <n v="1285.0335989248345"/>
    <n v="1635"/>
    <n v="9730"/>
    <n v="34"/>
    <s v="#PepsiCoRefresh"/>
    <m/>
    <m/>
    <x v="6"/>
    <m/>
    <s v="DailyWellness"/>
  </r>
  <r>
    <s v="Text"/>
    <s v="Check out our latest text on facebook!"/>
    <n v="1257"/>
    <n v="19"/>
    <n v="351"/>
    <n v="12570"/>
    <n v="1276.0279236276849"/>
    <n v="1627"/>
    <n v="11660"/>
    <n v="194"/>
    <s v="#LiveForNow"/>
    <s v="#AnytimeIsPepsiTime"/>
    <s v="#ThirstyForMore"/>
    <x v="6"/>
    <m/>
    <s v="FestiveRadiance"/>
  </r>
  <r>
    <s v="Carousel"/>
    <s v="Check out our latest carousel on instagram!"/>
    <n v="914"/>
    <n v="464"/>
    <n v="246"/>
    <n v="11882"/>
    <n v="1378.020703585255"/>
    <n v="1624"/>
    <n v="11500"/>
    <n v="282"/>
    <s v="#LiveForNow"/>
    <s v="#PepsiCoRefresh"/>
    <s v="#AnytimeIsPepsiTime"/>
    <x v="6"/>
    <m/>
    <s v="DailyWellness"/>
  </r>
  <r>
    <s v="Image"/>
    <s v="Check out our latest image on youtube!"/>
    <n v="257"/>
    <n v="966"/>
    <n v="398"/>
    <n v="3341"/>
    <n v="1223.1191260101766"/>
    <n v="1621"/>
    <n v="2753"/>
    <n v="287"/>
    <s v="#LiveForNow"/>
    <m/>
    <m/>
    <x v="6"/>
    <m/>
    <s v="SummerSplash"/>
  </r>
  <r>
    <s v="Video"/>
    <s v="Check out our latest video on instagram!"/>
    <n v="1071"/>
    <n v="519"/>
    <n v="22"/>
    <n v="16065"/>
    <n v="1590.0013694366635"/>
    <n v="1612"/>
    <n v="15865"/>
    <n v="103"/>
    <s v="#PepsiCoRefresh"/>
    <m/>
    <m/>
    <x v="6"/>
    <m/>
    <s v="DailyWellness"/>
  </r>
  <r>
    <s v="Story"/>
    <s v="Check out our latest story on instagram!"/>
    <n v="498"/>
    <n v="701"/>
    <n v="412"/>
    <n v="4980"/>
    <n v="1199.0827309236947"/>
    <n v="1611"/>
    <n v="4185"/>
    <n v="185"/>
    <s v="#LiveForNow"/>
    <m/>
    <m/>
    <x v="6"/>
    <m/>
    <m/>
  </r>
  <r>
    <s v="Video"/>
    <s v="Check out our latest video on youtube!"/>
    <n v="1094"/>
    <n v="472"/>
    <n v="21"/>
    <n v="9846"/>
    <n v="1566.0021328458258"/>
    <n v="1587"/>
    <n v="9609"/>
    <n v="112"/>
    <s v="#ThirstyForMore"/>
    <m/>
    <m/>
    <x v="6"/>
    <m/>
    <m/>
  </r>
  <r>
    <s v="Image"/>
    <s v="Check out our latest image on instagram!"/>
    <n v="521"/>
    <n v="746"/>
    <n v="315"/>
    <n v="4168"/>
    <n v="1267.0755758157391"/>
    <n v="1582"/>
    <n v="3399"/>
    <n v="282"/>
    <s v="#LiveForNow"/>
    <m/>
    <m/>
    <x v="6"/>
    <m/>
    <s v="FestiveRadiance"/>
  </r>
  <r>
    <s v="Image"/>
    <s v="Check out our latest image on twitter!"/>
    <n v="954"/>
    <n v="324"/>
    <n v="288"/>
    <n v="19080"/>
    <n v="1278.0150943396227"/>
    <n v="1566"/>
    <n v="18859"/>
    <n v="21"/>
    <s v="#LiveForNow"/>
    <m/>
    <m/>
    <x v="6"/>
    <m/>
    <s v="DailyWellness"/>
  </r>
  <r>
    <s v="Text"/>
    <s v="Check out our latest text on facebook!"/>
    <n v="880"/>
    <n v="297"/>
    <n v="345"/>
    <n v="12320"/>
    <n v="1177.0280032467533"/>
    <n v="1522"/>
    <n v="11978"/>
    <n v="238"/>
    <s v="#PepsiCoRefresh"/>
    <s v="#AnytimeIsPepsiTime"/>
    <m/>
    <x v="6"/>
    <m/>
    <m/>
  </r>
  <r>
    <s v="Text"/>
    <s v="Check out our latest text on twitter!"/>
    <n v="941"/>
    <n v="121"/>
    <n v="458"/>
    <n v="14115"/>
    <n v="1062.0324477506199"/>
    <n v="1520"/>
    <n v="13838"/>
    <n v="87"/>
    <s v="#ThirstyForMore"/>
    <m/>
    <m/>
    <x v="6"/>
    <m/>
    <s v="SummerSplash"/>
  </r>
  <r>
    <s v="Image"/>
    <s v="Check out our latest image on facebook!"/>
    <n v="400"/>
    <n v="680"/>
    <n v="434"/>
    <n v="6400"/>
    <n v="1080.0678124999999"/>
    <n v="1514"/>
    <n v="5472"/>
    <n v="160"/>
    <s v="#LiveForNow"/>
    <m/>
    <m/>
    <x v="6"/>
    <m/>
    <s v="FestiveRadiance"/>
  </r>
  <r>
    <s v="Reel"/>
    <s v="Check out our latest reel on instagram!"/>
    <n v="456"/>
    <n v="629"/>
    <n v="428"/>
    <n v="8208"/>
    <n v="1085.0521442495126"/>
    <n v="1513"/>
    <n v="7377"/>
    <n v="205"/>
    <s v="#LiveForNow"/>
    <m/>
    <m/>
    <x v="6"/>
    <m/>
    <s v="DailyWellness"/>
  </r>
  <r>
    <s v="Video"/>
    <s v="Check out our latest video on twitter!"/>
    <n v="1108"/>
    <n v="177"/>
    <n v="212"/>
    <n v="8864"/>
    <n v="1285.023916967509"/>
    <n v="1497"/>
    <n v="8710"/>
    <n v="97"/>
    <s v="#PepsiCoRefresh"/>
    <m/>
    <m/>
    <x v="6"/>
    <m/>
    <s v="DailyWellness"/>
  </r>
  <r>
    <s v="Carousel"/>
    <s v="Check out our latest carousel on youtube!"/>
    <n v="804"/>
    <n v="639"/>
    <n v="43"/>
    <n v="4020"/>
    <n v="1443.010696517413"/>
    <n v="1486"/>
    <n v="3144"/>
    <n v="11"/>
    <s v="#ThirstyForMore"/>
    <s v="#BetterWithPepsi"/>
    <m/>
    <x v="6"/>
    <m/>
    <m/>
  </r>
  <r>
    <s v="Image"/>
    <s v="Check out our latest image on youtube!"/>
    <n v="1206"/>
    <n v="238"/>
    <n v="36"/>
    <n v="9648"/>
    <n v="1444.0037313432836"/>
    <n v="1480"/>
    <n v="9417"/>
    <n v="237"/>
    <s v="#PepsiCoRefresh"/>
    <m/>
    <m/>
    <x v="6"/>
    <m/>
    <m/>
  </r>
  <r>
    <s v="Carousel"/>
    <s v="Check out our latest carousel on twitter!"/>
    <n v="929"/>
    <n v="192"/>
    <n v="322"/>
    <n v="16722"/>
    <n v="1121.0192560698481"/>
    <n v="1443"/>
    <n v="15996"/>
    <n v="145"/>
    <s v="#ThirstyForMore"/>
    <s v="#PepsiCoRefresh"/>
    <s v="#AnytimeIsPepsiTime"/>
    <x v="6"/>
    <m/>
    <s v="NewYearRefresh"/>
  </r>
  <r>
    <s v="Video"/>
    <s v="Check out our latest video on facebook!"/>
    <n v="199"/>
    <n v="772"/>
    <n v="400"/>
    <n v="3582"/>
    <n v="971.11166945840307"/>
    <n v="1371"/>
    <n v="2988"/>
    <n v="43"/>
    <s v="#PepsiCoRefresh"/>
    <m/>
    <m/>
    <x v="6"/>
    <m/>
    <m/>
  </r>
  <r>
    <s v="Image"/>
    <s v="Check out our latest image on facebook!"/>
    <n v="1226"/>
    <n v="119"/>
    <n v="7"/>
    <n v="14712"/>
    <n v="1345.0004758020664"/>
    <n v="1352"/>
    <n v="14049"/>
    <n v="123"/>
    <s v="#ThirstyForMore"/>
    <m/>
    <m/>
    <x v="6"/>
    <m/>
    <s v="DailyWellness"/>
  </r>
  <r>
    <s v="Image"/>
    <s v="Check out our latest image on facebook!"/>
    <n v="602"/>
    <n v="594"/>
    <n v="156"/>
    <n v="4214"/>
    <n v="1196.0370194589464"/>
    <n v="1352"/>
    <n v="3363"/>
    <n v="164"/>
    <s v="#PepsiCoRefresh"/>
    <m/>
    <m/>
    <x v="6"/>
    <m/>
    <s v="NewYearRefresh"/>
  </r>
  <r>
    <s v="Story"/>
    <s v="Check out our latest story on instagram!"/>
    <n v="360"/>
    <n v="590"/>
    <n v="393"/>
    <n v="4680"/>
    <n v="950.08397435897439"/>
    <n v="1343"/>
    <n v="4322"/>
    <n v="208"/>
    <s v="#LiveForNow"/>
    <m/>
    <m/>
    <x v="6"/>
    <m/>
    <s v="FestiveRadiance"/>
  </r>
  <r>
    <s v="Reel"/>
    <s v="Check out our latest reel on twitter!"/>
    <n v="802"/>
    <n v="262"/>
    <n v="244"/>
    <n v="14436"/>
    <n v="1064.0169021889719"/>
    <n v="1308"/>
    <n v="14280"/>
    <n v="49"/>
    <s v="#ThirstyForMore"/>
    <m/>
    <m/>
    <x v="6"/>
    <m/>
    <s v="SummerSplash"/>
  </r>
  <r>
    <s v="Image"/>
    <s v="Check out our latest image on twitter!"/>
    <n v="827"/>
    <n v="77"/>
    <n v="402"/>
    <n v="14886"/>
    <n v="904.02700523982264"/>
    <n v="1306"/>
    <n v="14129"/>
    <n v="254"/>
    <s v="#ThirstyForMore"/>
    <m/>
    <m/>
    <x v="6"/>
    <m/>
    <s v="FestiveRadiance"/>
  </r>
  <r>
    <s v="Story"/>
    <s v="Check out our latest story on twitter!"/>
    <n v="1121"/>
    <n v="135"/>
    <n v="18"/>
    <n v="15694"/>
    <n v="1256.0011469351346"/>
    <n v="1274"/>
    <n v="14957"/>
    <n v="99"/>
    <s v="#PepsiCoRefresh"/>
    <m/>
    <m/>
    <x v="6"/>
    <m/>
    <s v="DailyWellness"/>
  </r>
  <r>
    <s v="Image"/>
    <s v="Check out our latest image on instagram!"/>
    <n v="725"/>
    <n v="88"/>
    <n v="428"/>
    <n v="14500"/>
    <n v="813.02951724137927"/>
    <n v="1241"/>
    <n v="13637"/>
    <n v="200"/>
    <s v="#LiveForNow"/>
    <s v="#PepsiCoRefresh"/>
    <s v="#AnytimeIsPepsiTime"/>
    <x v="6"/>
    <m/>
    <s v="NewYearRefresh"/>
  </r>
  <r>
    <s v="Video"/>
    <s v="Check out our latest video on twitter!"/>
    <n v="754"/>
    <n v="197"/>
    <n v="257"/>
    <n v="6786"/>
    <n v="951.03787208959625"/>
    <n v="1208"/>
    <n v="6221"/>
    <n v="212"/>
    <s v="#PepsiCoRefresh"/>
    <m/>
    <m/>
    <x v="6"/>
    <m/>
    <s v="NewYearRefresh"/>
  </r>
  <r>
    <s v="Video"/>
    <s v="Check out our latest video on instagram!"/>
    <n v="432"/>
    <n v="624"/>
    <n v="123"/>
    <n v="6912"/>
    <n v="1056.0177951388889"/>
    <n v="1179"/>
    <n v="6259"/>
    <n v="79"/>
    <s v="#LiveForNow"/>
    <m/>
    <m/>
    <x v="6"/>
    <m/>
    <s v="DailyWellness"/>
  </r>
  <r>
    <s v="Story"/>
    <s v="Check out our latest story on facebook!"/>
    <n v="886"/>
    <n v="126"/>
    <n v="153"/>
    <n v="4430"/>
    <n v="1012.0345372460497"/>
    <n v="1165"/>
    <n v="4037"/>
    <n v="212"/>
    <s v="#ThirstyForMore"/>
    <m/>
    <m/>
    <x v="6"/>
    <m/>
    <m/>
  </r>
  <r>
    <s v="Text"/>
    <s v="Check out our latest text on twitter!"/>
    <n v="571"/>
    <n v="190"/>
    <n v="352"/>
    <n v="9707"/>
    <n v="761.03626249098591"/>
    <n v="1113"/>
    <n v="9418"/>
    <n v="231"/>
    <s v="#PepsiCoRefresh"/>
    <m/>
    <m/>
    <x v="6"/>
    <m/>
    <s v="DailyWellness"/>
  </r>
  <r>
    <s v="Reel"/>
    <s v="Check out our latest reel on instagram!"/>
    <n v="142"/>
    <n v="784"/>
    <n v="183"/>
    <n v="1704"/>
    <n v="926.10739436619713"/>
    <n v="1109"/>
    <n v="995"/>
    <n v="154"/>
    <s v="#LiveForNow"/>
    <m/>
    <m/>
    <x v="6"/>
    <m/>
    <s v="DailyWellness"/>
  </r>
  <r>
    <s v="Story"/>
    <s v="Check out our latest story on twitter!"/>
    <n v="249"/>
    <n v="592"/>
    <n v="230"/>
    <n v="1494"/>
    <n v="841.15394912985278"/>
    <n v="1071"/>
    <n v="1044"/>
    <n v="201"/>
    <s v="#ThirstyForMore"/>
    <m/>
    <m/>
    <x v="6"/>
    <m/>
    <s v="DailyWellness"/>
  </r>
  <r>
    <s v="Story"/>
    <s v="Check out our latest story on instagram!"/>
    <n v="84"/>
    <n v="897"/>
    <n v="85"/>
    <n v="588"/>
    <n v="981.14455782312928"/>
    <n v="1066"/>
    <n v="8"/>
    <n v="12"/>
    <s v="#ThirstyForMore"/>
    <m/>
    <m/>
    <x v="6"/>
    <m/>
    <m/>
  </r>
  <r>
    <s v="Video"/>
    <s v="Check out our latest video on instagram!"/>
    <n v="129"/>
    <n v="643"/>
    <n v="136"/>
    <n v="1290"/>
    <n v="772.10542635658919"/>
    <n v="908"/>
    <n v="839"/>
    <n v="238"/>
    <s v="#PepsiCoRefresh"/>
    <m/>
    <m/>
    <x v="6"/>
    <m/>
    <s v="DailyWellness"/>
  </r>
  <r>
    <s v="Reel"/>
    <s v="Check out our latest reel on instagram!"/>
    <n v="103"/>
    <n v="770"/>
    <n v="19"/>
    <n v="1030"/>
    <n v="873.01844660194172"/>
    <n v="892"/>
    <n v="410"/>
    <n v="262"/>
    <s v="#PepsiCoRefresh"/>
    <m/>
    <m/>
    <x v="6"/>
    <m/>
    <s v="DailyWellness"/>
  </r>
  <r>
    <s v="Carousel"/>
    <s v="Check out our latest carousel on twitter!"/>
    <n v="432"/>
    <n v="171"/>
    <n v="280"/>
    <n v="3024"/>
    <n v="603.09259259259261"/>
    <n v="883"/>
    <n v="2285"/>
    <n v="184"/>
    <s v="#ThirstyForMore"/>
    <m/>
    <m/>
    <x v="6"/>
    <m/>
    <s v="SummerSplash"/>
  </r>
  <r>
    <s v="Text"/>
    <s v="Check out our latest text on facebook!"/>
    <n v="562"/>
    <n v="158"/>
    <n v="149"/>
    <n v="3372"/>
    <n v="720.04418742586006"/>
    <n v="869"/>
    <n v="2940"/>
    <n v="93"/>
    <s v="#PepsiCoRefresh"/>
    <m/>
    <m/>
    <x v="6"/>
    <m/>
    <s v="SummerSplash"/>
  </r>
  <r>
    <s v="Text"/>
    <s v="Check out our latest text on instagram!"/>
    <n v="438"/>
    <n v="153"/>
    <n v="275"/>
    <n v="3066"/>
    <n v="591.08969341161117"/>
    <n v="866"/>
    <n v="2701"/>
    <n v="282"/>
    <s v="#PepsiCoRefresh"/>
    <m/>
    <m/>
    <x v="6"/>
    <m/>
    <s v="FestiveRadiance"/>
  </r>
  <r>
    <s v="Story"/>
    <s v="Check out our latest story on facebook!"/>
    <n v="302"/>
    <n v="47"/>
    <n v="430"/>
    <n v="5738"/>
    <n v="349.07493900313699"/>
    <n v="779"/>
    <n v="4890"/>
    <n v="25"/>
    <s v="#PepsiCoRefresh"/>
    <m/>
    <m/>
    <x v="6"/>
    <m/>
    <s v="DailyWellness"/>
  </r>
  <r>
    <s v="Image"/>
    <s v="Check out our latest image on twitter!"/>
    <n v="305"/>
    <n v="187"/>
    <n v="243"/>
    <n v="4575"/>
    <n v="492.05311475409837"/>
    <n v="735"/>
    <n v="3704"/>
    <n v="234"/>
    <s v="#LiveForNow"/>
    <m/>
    <m/>
    <x v="6"/>
    <m/>
    <s v="NewYearRefresh"/>
  </r>
  <r>
    <s v="Carousel"/>
    <s v="Check out our latest carousel on instagram!"/>
    <n v="498"/>
    <n v="38"/>
    <n v="42"/>
    <n v="4482"/>
    <n v="536.0093708165997"/>
    <n v="578"/>
    <n v="3647"/>
    <n v="32"/>
    <s v="#LiveForNow"/>
    <m/>
    <m/>
    <x v="6"/>
    <m/>
    <s v="SummerSplash"/>
  </r>
  <r>
    <s v="Text"/>
    <s v="Check out our latest text on instagram!"/>
    <n v="246"/>
    <n v="149"/>
    <n v="130"/>
    <n v="4674"/>
    <n v="395.02781343602908"/>
    <n v="525"/>
    <n v="4390"/>
    <n v="217"/>
    <s v="#LiveForNow"/>
    <m/>
    <m/>
    <x v="6"/>
    <m/>
    <s v="NewYearRefresh"/>
  </r>
  <r>
    <s v="Carousel"/>
    <s v="Check out our latest carousel on youtube!"/>
    <n v="80"/>
    <n v="362"/>
    <n v="80"/>
    <n v="1040"/>
    <n v="442.07692307692309"/>
    <n v="522"/>
    <n v="349"/>
    <n v="117"/>
    <s v="#PepsiCoRefresh"/>
    <m/>
    <m/>
    <x v="6"/>
    <m/>
    <s v="NewYearRefresh"/>
  </r>
  <r>
    <s v="Carousel"/>
    <s v="Check out our latest carousel on twitter!"/>
    <n v="53"/>
    <n v="81"/>
    <n v="379"/>
    <n v="954"/>
    <n v="134.39727463312369"/>
    <n v="513"/>
    <n v="7"/>
    <n v="148"/>
    <s v="#PepsiCoRefresh"/>
    <m/>
    <m/>
    <x v="6"/>
    <m/>
    <s v="NewYearRefresh"/>
  </r>
  <r>
    <s v="Reel"/>
    <s v="Check out our latest reel on youtube!"/>
    <n v="296"/>
    <n v="60"/>
    <n v="141"/>
    <n v="5624"/>
    <n v="356.02507112375531"/>
    <n v="497"/>
    <n v="5239"/>
    <n v="88"/>
    <s v="#ThirstyForMore"/>
    <m/>
    <m/>
    <x v="6"/>
    <m/>
    <s v="FestiveRadiance"/>
  </r>
  <r>
    <s v="Image"/>
    <s v="Check out our latest image on twitter!"/>
    <n v="59"/>
    <n v="163"/>
    <n v="93"/>
    <n v="590"/>
    <n v="222.15762711864406"/>
    <n v="315"/>
    <n v="475"/>
    <n v="293"/>
    <s v="#PepsiCoRefresh"/>
    <m/>
    <m/>
    <x v="6"/>
    <m/>
    <s v="FestiveRadiance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61"/>
    <s v="Twitter"/>
    <s v="2024-09-05"/>
    <s v="Video"/>
    <s v="Check out our latest video on twitter!"/>
    <n v="4886"/>
    <n v="983"/>
    <n v="409"/>
    <n v="43974"/>
    <n v="5869.0093009505617"/>
    <n v="6278"/>
    <n v="43239"/>
    <n v="65"/>
    <s v="#PepsiCoRefresh"/>
    <m/>
    <m/>
    <s v="#PepsiCoRefresh"/>
    <n v="107"/>
    <s v="SummerSplash"/>
    <x v="0"/>
    <x v="0"/>
    <x v="0"/>
    <x v="0"/>
  </r>
  <r>
    <s v="P144"/>
    <s v="YouTube"/>
    <s v="2024-10-28"/>
    <s v="Story"/>
    <s v="Check out our latest story on youtube!"/>
    <n v="4929"/>
    <n v="749"/>
    <n v="452"/>
    <n v="93651"/>
    <n v="5678.0048264300431"/>
    <n v="6130"/>
    <n v="92810"/>
    <n v="66"/>
    <s v="#ThirstyForMore"/>
    <m/>
    <m/>
    <s v="#ThirstyForMore"/>
    <n v="102"/>
    <s v="DailyWellness"/>
    <x v="0"/>
    <x v="0"/>
    <x v="1"/>
    <x v="0"/>
  </r>
  <r>
    <s v="P164"/>
    <s v="YouTube"/>
    <s v="2025-02-27"/>
    <s v="Text"/>
    <s v="Check out our latest text on youtube!"/>
    <n v="4934"/>
    <n v="971"/>
    <n v="156"/>
    <n v="39472"/>
    <n v="5905.0039521686258"/>
    <n v="6061"/>
    <n v="39025"/>
    <n v="169"/>
    <s v="#PepsiCoRefresh"/>
    <s v="#AnytimeIsPepsiTime"/>
    <m/>
    <s v="#LiveForNow"/>
    <n v="103"/>
    <s v="DailyWellness"/>
    <x v="0"/>
    <x v="0"/>
    <x v="0"/>
    <x v="0"/>
  </r>
  <r>
    <s v="P261"/>
    <s v="Instagram"/>
    <s v="2024-10-27"/>
    <s v="Image"/>
    <s v="Check out our latest image on instagram!"/>
    <n v="4853"/>
    <n v="837"/>
    <n v="340"/>
    <n v="72795"/>
    <n v="5690.0046706504563"/>
    <n v="6030"/>
    <n v="72237"/>
    <n v="170"/>
    <s v="#ThirstyForMore"/>
    <m/>
    <m/>
    <s v="#AnytimeIsPepsiTime"/>
    <n v="15"/>
    <s v="SummerSplash"/>
    <x v="0"/>
    <x v="0"/>
    <x v="1"/>
    <x v="0"/>
  </r>
  <r>
    <s v="P244"/>
    <s v="YouTube"/>
    <s v="2024-10-25"/>
    <s v="Video"/>
    <s v="Check out our latest video on youtube!"/>
    <n v="4661"/>
    <n v="935"/>
    <n v="433"/>
    <n v="23305"/>
    <n v="5596.0185797039258"/>
    <n v="6029"/>
    <n v="22583"/>
    <n v="63"/>
    <s v="#LiveForNow"/>
    <m/>
    <m/>
    <s v="#PepsiCoRefresh"/>
    <n v="107"/>
    <s v="NewYearRefresh"/>
    <x v="0"/>
    <x v="0"/>
    <x v="1"/>
    <x v="0"/>
  </r>
  <r>
    <s v="P215"/>
    <s v="Facebook"/>
    <s v="2025-05-06"/>
    <s v="Image"/>
    <s v="Check out our latest image on facebook!"/>
    <n v="4872"/>
    <n v="925"/>
    <n v="176"/>
    <n v="82824"/>
    <n v="5797.0021249879264"/>
    <n v="5973"/>
    <n v="82543"/>
    <n v="89"/>
    <s v="#ThirstyForMore"/>
    <m/>
    <m/>
    <s v="#ThirstyForMore"/>
    <n v="102"/>
    <s v="FestiveRadiance"/>
    <x v="0"/>
    <x v="0"/>
    <x v="0"/>
    <x v="0"/>
  </r>
  <r>
    <s v="P106"/>
    <s v="Instagram"/>
    <s v="2025-02-04"/>
    <s v="Image"/>
    <s v="Check out our latest image on instagram!"/>
    <n v="4619"/>
    <n v="821"/>
    <n v="499"/>
    <n v="69285"/>
    <n v="5440.0072021361048"/>
    <n v="5939"/>
    <n v="69141"/>
    <n v="298"/>
    <s v="#PepsiCoRefresh"/>
    <m/>
    <m/>
    <s v="#BetterWithPepsi"/>
    <n v="7"/>
    <s v="DailyWellness"/>
    <x v="0"/>
    <x v="0"/>
    <x v="0"/>
    <x v="0"/>
  </r>
  <r>
    <s v="P161"/>
    <s v="Twitter"/>
    <s v="2025-02-19"/>
    <s v="Text"/>
    <s v="Check out our latest text on twitter!"/>
    <n v="4671"/>
    <n v="876"/>
    <n v="366"/>
    <n v="51381"/>
    <n v="5547.0071232556784"/>
    <n v="5913"/>
    <n v="50565"/>
    <n v="245"/>
    <s v="#PepsiCoRefresh"/>
    <m/>
    <m/>
    <s v="#SmoothLikeNitroPepsi"/>
    <n v="5"/>
    <s v="DailyWellness"/>
    <x v="0"/>
    <x v="0"/>
    <x v="0"/>
    <x v="0"/>
  </r>
  <r>
    <s v="P228"/>
    <s v="Instagram"/>
    <s v="2024-07-01"/>
    <s v="Story"/>
    <s v="Check out our latest story on instagram!"/>
    <n v="4808"/>
    <n v="772"/>
    <n v="320"/>
    <n v="72120"/>
    <n v="5580.0044370493624"/>
    <n v="5900"/>
    <n v="71696"/>
    <n v="195"/>
    <s v="#ThirstyForMore"/>
    <m/>
    <m/>
    <m/>
    <m/>
    <s v="SummerSplash"/>
    <x v="1"/>
    <x v="0"/>
    <x v="0"/>
    <x v="0"/>
  </r>
  <r>
    <s v="P279"/>
    <s v="YouTube"/>
    <s v="2024-09-02"/>
    <s v="Image"/>
    <s v="Check out our latest image on youtube!"/>
    <n v="4905"/>
    <n v="845"/>
    <n v="129"/>
    <n v="98100"/>
    <n v="5750.0013149847091"/>
    <n v="5879"/>
    <n v="97772"/>
    <n v="279"/>
    <s v="#PepsiCoRefresh"/>
    <m/>
    <m/>
    <m/>
    <m/>
    <s v="FestiveRadiance"/>
    <x v="0"/>
    <x v="0"/>
    <x v="0"/>
    <x v="0"/>
  </r>
  <r>
    <s v="P288"/>
    <s v="YouTube"/>
    <s v="2025-04-17"/>
    <s v="Carousel"/>
    <s v="Check out our latest carousel on youtube!"/>
    <n v="4780"/>
    <n v="691"/>
    <n v="380"/>
    <n v="86040"/>
    <n v="5471.0044165504414"/>
    <n v="5851"/>
    <n v="85743"/>
    <n v="262"/>
    <s v="#LiveForNow"/>
    <m/>
    <m/>
    <m/>
    <m/>
    <s v="NewYearRefresh"/>
    <x v="0"/>
    <x v="0"/>
    <x v="0"/>
    <x v="0"/>
  </r>
  <r>
    <s v="P229"/>
    <s v="Instagram"/>
    <s v="2024-07-03"/>
    <s v="Carousel"/>
    <s v="Check out our latest carousel on instagram!"/>
    <n v="4799"/>
    <n v="694"/>
    <n v="289"/>
    <n v="43191"/>
    <n v="5493.0066912088168"/>
    <n v="5782"/>
    <n v="42228"/>
    <n v="118"/>
    <s v="#PepsiCoRefresh"/>
    <m/>
    <m/>
    <m/>
    <m/>
    <m/>
    <x v="1"/>
    <x v="0"/>
    <x v="0"/>
    <x v="0"/>
  </r>
  <r>
    <s v="P217"/>
    <s v="Facebook"/>
    <s v="2024-12-03"/>
    <s v="Image"/>
    <s v="Check out our latest image on facebook!"/>
    <n v="4606"/>
    <n v="931"/>
    <n v="230"/>
    <n v="92120"/>
    <n v="5537.0024967433783"/>
    <n v="5767"/>
    <n v="91440"/>
    <n v="56"/>
    <s v="#PepsiCoRefresh"/>
    <m/>
    <m/>
    <m/>
    <m/>
    <m/>
    <x v="0"/>
    <x v="0"/>
    <x v="0"/>
    <x v="0"/>
  </r>
  <r>
    <s v="P107"/>
    <s v="YouTube"/>
    <s v="2024-06-21"/>
    <s v="Image"/>
    <s v="Check out our latest image on youtube!"/>
    <n v="4832"/>
    <n v="893"/>
    <n v="10"/>
    <n v="91808"/>
    <n v="5725.00010892297"/>
    <n v="5735"/>
    <n v="91296"/>
    <n v="182"/>
    <s v="#PepsiCoRefresh"/>
    <m/>
    <m/>
    <m/>
    <m/>
    <m/>
    <x v="1"/>
    <x v="0"/>
    <x v="0"/>
    <x v="0"/>
  </r>
  <r>
    <s v="P131"/>
    <s v="Instagram"/>
    <s v="2024-10-21"/>
    <s v="Reel"/>
    <s v="Check out our latest reel on instagram!"/>
    <n v="4840"/>
    <n v="658"/>
    <n v="211"/>
    <n v="43560"/>
    <n v="5498.00484389348"/>
    <n v="5709"/>
    <n v="43225"/>
    <n v="57"/>
    <s v="#LiveForNow"/>
    <m/>
    <m/>
    <m/>
    <m/>
    <s v="NewYearRefresh"/>
    <x v="0"/>
    <x v="0"/>
    <x v="1"/>
    <x v="0"/>
  </r>
  <r>
    <s v="P167"/>
    <s v="Instagram"/>
    <s v="2024-11-28"/>
    <s v="Text"/>
    <s v="Check out our latest text on instagram!"/>
    <n v="4771"/>
    <n v="818"/>
    <n v="56"/>
    <n v="57252"/>
    <n v="5589.0009781317685"/>
    <n v="5645"/>
    <n v="56378"/>
    <n v="150"/>
    <s v="#LiveForNow"/>
    <m/>
    <m/>
    <m/>
    <m/>
    <m/>
    <x v="0"/>
    <x v="0"/>
    <x v="0"/>
    <x v="0"/>
  </r>
  <r>
    <s v="P152"/>
    <s v="Facebook"/>
    <s v="2025-04-22"/>
    <s v="Image"/>
    <s v="Check out our latest image on facebook!"/>
    <n v="4804"/>
    <n v="550"/>
    <n v="270"/>
    <n v="28824"/>
    <n v="5354.0093671940049"/>
    <n v="5624"/>
    <n v="28370"/>
    <n v="47"/>
    <s v="#ThirstyForMore"/>
    <m/>
    <m/>
    <m/>
    <m/>
    <s v="DailyWellness"/>
    <x v="0"/>
    <x v="0"/>
    <x v="0"/>
    <x v="0"/>
  </r>
  <r>
    <s v="P272"/>
    <s v="Instagram"/>
    <s v="2025-03-27"/>
    <s v="Text"/>
    <s v="Check out our latest text on instagram!"/>
    <n v="4941"/>
    <n v="414"/>
    <n v="266"/>
    <n v="39528"/>
    <n v="5355.0067294070022"/>
    <n v="5621"/>
    <n v="39154"/>
    <n v="217"/>
    <s v="#PepsiCoRefresh"/>
    <m/>
    <m/>
    <m/>
    <m/>
    <s v="NewYearRefresh"/>
    <x v="0"/>
    <x v="1"/>
    <x v="0"/>
    <x v="0"/>
  </r>
  <r>
    <s v="P021"/>
    <s v="Instagram"/>
    <s v="2025-01-04"/>
    <s v="Reel"/>
    <s v="Check out our latest reel on instagram!"/>
    <n v="4838"/>
    <n v="640"/>
    <n v="128"/>
    <n v="72570"/>
    <n v="5478.0017638142481"/>
    <n v="5606"/>
    <n v="72396"/>
    <n v="83"/>
    <s v="#LiveForNow"/>
    <m/>
    <m/>
    <m/>
    <m/>
    <s v="DailyWellness"/>
    <x v="0"/>
    <x v="0"/>
    <x v="0"/>
    <x v="1"/>
  </r>
  <r>
    <s v="P197"/>
    <s v="Twitter"/>
    <s v="2024-10-22"/>
    <s v="Reel"/>
    <s v="Check out our latest reel on twitter!"/>
    <n v="4782"/>
    <n v="721"/>
    <n v="82"/>
    <n v="86076"/>
    <n v="5503.0009526464983"/>
    <n v="5585"/>
    <n v="85339"/>
    <n v="19"/>
    <s v="#ThirstyForMore"/>
    <m/>
    <m/>
    <m/>
    <m/>
    <s v="SummerSplash"/>
    <x v="0"/>
    <x v="0"/>
    <x v="1"/>
    <x v="0"/>
  </r>
  <r>
    <s v="P101"/>
    <s v="YouTube"/>
    <s v="2024-10-18"/>
    <s v="Video"/>
    <s v="Check out our latest video on youtube!"/>
    <n v="4450"/>
    <n v="983"/>
    <n v="143"/>
    <n v="75650"/>
    <n v="5433.0018902842039"/>
    <n v="5576"/>
    <n v="75008"/>
    <n v="12"/>
    <s v="#LiveForNow"/>
    <m/>
    <m/>
    <m/>
    <m/>
    <s v="NewYearRefresh"/>
    <x v="0"/>
    <x v="0"/>
    <x v="1"/>
    <x v="0"/>
  </r>
  <r>
    <s v="P191"/>
    <s v="YouTube"/>
    <s v="2024-12-03"/>
    <s v="Story"/>
    <s v="Check out our latest story on youtube!"/>
    <n v="4285"/>
    <n v="886"/>
    <n v="376"/>
    <n v="55705"/>
    <n v="5171.0067498429225"/>
    <n v="5547"/>
    <n v="55556"/>
    <n v="51"/>
    <s v="#LiveForNow"/>
    <m/>
    <m/>
    <m/>
    <m/>
    <s v="NewYearRefresh"/>
    <x v="0"/>
    <x v="0"/>
    <x v="0"/>
    <x v="0"/>
  </r>
  <r>
    <s v="P278"/>
    <s v="Twitter"/>
    <s v="2024-11-26"/>
    <s v="Text"/>
    <s v="Check out our latest text on twitter!"/>
    <n v="4516"/>
    <n v="836"/>
    <n v="169"/>
    <n v="49676"/>
    <n v="5352.0034020452531"/>
    <n v="5521"/>
    <n v="49257"/>
    <n v="282"/>
    <s v="#ThirstyForMore"/>
    <m/>
    <m/>
    <m/>
    <m/>
    <s v="DailyWellness"/>
    <x v="0"/>
    <x v="0"/>
    <x v="0"/>
    <x v="0"/>
  </r>
  <r>
    <s v="P238"/>
    <s v="Twitter"/>
    <s v="2024-07-16"/>
    <s v="Text"/>
    <s v="Check out our latest text on twitter!"/>
    <n v="4725"/>
    <n v="400"/>
    <n v="362"/>
    <n v="75600"/>
    <n v="5125.0047883597881"/>
    <n v="5487"/>
    <n v="74927"/>
    <n v="43"/>
    <s v="#LiveForNow"/>
    <m/>
    <m/>
    <m/>
    <m/>
    <s v="DailyWellness"/>
    <x v="0"/>
    <x v="0"/>
    <x v="0"/>
    <x v="0"/>
  </r>
  <r>
    <s v="P150"/>
    <s v="YouTube"/>
    <s v="2024-08-22"/>
    <s v="Carousel"/>
    <s v="Check out our latest carousel on youtube!"/>
    <n v="4295"/>
    <n v="853"/>
    <n v="325"/>
    <n v="85900"/>
    <n v="5148.0037834691502"/>
    <n v="5473"/>
    <n v="85788"/>
    <n v="290"/>
    <s v="#PepsiCoRefresh"/>
    <m/>
    <m/>
    <m/>
    <m/>
    <s v="DailyWellness"/>
    <x v="0"/>
    <x v="0"/>
    <x v="0"/>
    <x v="0"/>
  </r>
  <r>
    <s v="P118"/>
    <s v="Facebook"/>
    <s v="2024-11-04"/>
    <s v="Image"/>
    <s v="Check out our latest image on facebook!"/>
    <n v="4551"/>
    <n v="714"/>
    <n v="207"/>
    <n v="68265"/>
    <n v="5265.0030323005931"/>
    <n v="5472"/>
    <n v="67754"/>
    <n v="57"/>
    <s v="#LiveForNow"/>
    <m/>
    <m/>
    <m/>
    <m/>
    <s v="NewYearRefresh"/>
    <x v="0"/>
    <x v="0"/>
    <x v="0"/>
    <x v="0"/>
  </r>
  <r>
    <s v="P067"/>
    <s v="Facebook"/>
    <s v="2025-03-29"/>
    <s v="Carousel"/>
    <s v="Check out our latest carousel on facebook!"/>
    <n v="4712"/>
    <n v="568"/>
    <n v="127"/>
    <n v="84816"/>
    <n v="5280.0014973589887"/>
    <n v="5407"/>
    <n v="84691"/>
    <n v="100"/>
    <s v="#ThirstyForMore"/>
    <m/>
    <m/>
    <m/>
    <m/>
    <s v="NewYearRefresh"/>
    <x v="0"/>
    <x v="1"/>
    <x v="0"/>
    <x v="0"/>
  </r>
  <r>
    <s v="P097"/>
    <s v="Instagram"/>
    <s v="2024-08-13"/>
    <s v="Image"/>
    <s v="Check out our latest image on instagram!"/>
    <n v="4739"/>
    <n v="527"/>
    <n v="135"/>
    <n v="61607"/>
    <n v="5266.0021913094288"/>
    <n v="5401"/>
    <n v="61333"/>
    <n v="36"/>
    <s v="#PepsiCoRefresh"/>
    <s v="#AnytimeIsPepsiTime"/>
    <m/>
    <m/>
    <m/>
    <s v="FestiveRadiance"/>
    <x v="0"/>
    <x v="0"/>
    <x v="0"/>
    <x v="0"/>
  </r>
  <r>
    <s v="P241"/>
    <s v="Facebook"/>
    <s v="2025-01-18"/>
    <s v="Story"/>
    <s v="Check out our latest story on facebook!"/>
    <n v="4321"/>
    <n v="874"/>
    <n v="172"/>
    <n v="30247"/>
    <n v="5195.0056865143652"/>
    <n v="5367"/>
    <n v="29254"/>
    <n v="122"/>
    <s v="#PepsiCoRefresh"/>
    <m/>
    <m/>
    <m/>
    <m/>
    <s v="DailyWellness"/>
    <x v="0"/>
    <x v="0"/>
    <x v="0"/>
    <x v="0"/>
  </r>
  <r>
    <s v="P280"/>
    <s v="YouTube"/>
    <s v="2024-10-21"/>
    <s v="Video"/>
    <s v="Check out our latest video on youtube!"/>
    <n v="4275"/>
    <n v="680"/>
    <n v="385"/>
    <n v="64125"/>
    <n v="4955.0060038986358"/>
    <n v="5340"/>
    <n v="63650"/>
    <n v="104"/>
    <s v="#ThirstyForMore"/>
    <s v="#PepsiCoRefresh"/>
    <s v="#AnytimeIsPepsiTime"/>
    <m/>
    <m/>
    <s v="DailyWellness"/>
    <x v="0"/>
    <x v="0"/>
    <x v="1"/>
    <x v="0"/>
  </r>
  <r>
    <s v="P260"/>
    <s v="Instagram"/>
    <s v="2025-02-12"/>
    <s v="Story"/>
    <s v="Check out our latest story on instagram!"/>
    <n v="4332"/>
    <n v="771"/>
    <n v="219"/>
    <n v="60648"/>
    <n v="5103.003611001187"/>
    <n v="5322"/>
    <n v="60397"/>
    <n v="10"/>
    <s v="#PepsiCoRefresh"/>
    <s v="#ThirstyForMore"/>
    <s v="#BetterWithPepsi"/>
    <m/>
    <m/>
    <s v="NewYearRefresh"/>
    <x v="0"/>
    <x v="0"/>
    <x v="0"/>
    <x v="0"/>
  </r>
  <r>
    <s v="P040"/>
    <s v="Twitter"/>
    <s v="2025-03-07"/>
    <s v="Image"/>
    <s v="Check out our latest image on twitter!"/>
    <n v="4750"/>
    <n v="151"/>
    <n v="415"/>
    <n v="38000"/>
    <n v="4901.0109210526316"/>
    <n v="5316"/>
    <n v="37792"/>
    <n v="299"/>
    <s v="#ThirstyForMore"/>
    <m/>
    <m/>
    <m/>
    <m/>
    <s v="DailyWellness"/>
    <x v="0"/>
    <x v="1"/>
    <x v="0"/>
    <x v="0"/>
  </r>
  <r>
    <s v="P193"/>
    <s v="Twitter"/>
    <s v="2024-09-11"/>
    <s v="Image"/>
    <s v="Check out our latest image on twitter!"/>
    <n v="4858"/>
    <n v="317"/>
    <n v="129"/>
    <n v="53438"/>
    <n v="5175.0024140125006"/>
    <n v="5304"/>
    <n v="52687"/>
    <n v="223"/>
    <s v="#ThirstyForMore"/>
    <m/>
    <m/>
    <m/>
    <m/>
    <s v="NewYearRefresh"/>
    <x v="0"/>
    <x v="0"/>
    <x v="0"/>
    <x v="0"/>
  </r>
  <r>
    <s v="P242"/>
    <s v="Facebook"/>
    <s v="2024-07-07"/>
    <s v="Reel"/>
    <s v="Check out our latest reel on facebook!"/>
    <n v="4767"/>
    <n v="190"/>
    <n v="340"/>
    <n v="28602"/>
    <n v="4957.0118872806097"/>
    <n v="5297"/>
    <n v="28044"/>
    <n v="210"/>
    <s v="#ThirstyForMore"/>
    <m/>
    <m/>
    <m/>
    <m/>
    <s v="NewYearRefresh"/>
    <x v="1"/>
    <x v="0"/>
    <x v="0"/>
    <x v="0"/>
  </r>
  <r>
    <s v="P108"/>
    <s v="Twitter"/>
    <s v="2025-03-25"/>
    <s v="Video"/>
    <s v="Check out our latest video on twitter!"/>
    <n v="4050"/>
    <n v="871"/>
    <n v="347"/>
    <n v="52650"/>
    <n v="4921.0065906932577"/>
    <n v="5268"/>
    <n v="51755"/>
    <n v="209"/>
    <s v="#PepsiCoRefresh"/>
    <m/>
    <m/>
    <m/>
    <m/>
    <s v="FestiveRadiance"/>
    <x v="0"/>
    <x v="1"/>
    <x v="0"/>
    <x v="0"/>
  </r>
  <r>
    <s v="P300"/>
    <s v="Twitter"/>
    <s v="2024-08-31"/>
    <s v="Carousel"/>
    <s v="Check out our latest carousel on twitter!"/>
    <n v="4494"/>
    <n v="717"/>
    <n v="45"/>
    <n v="62916"/>
    <n v="5211.0007152393664"/>
    <n v="5256"/>
    <n v="62688"/>
    <n v="191"/>
    <s v="#PepsiCoRefresh"/>
    <s v="#ThirstyForMore"/>
    <s v="#BetterWithPepsi"/>
    <m/>
    <m/>
    <s v="SummerSplash"/>
    <x v="0"/>
    <x v="0"/>
    <x v="0"/>
    <x v="0"/>
  </r>
  <r>
    <s v="P239"/>
    <s v="YouTube"/>
    <s v="2025-02-24"/>
    <s v="Text"/>
    <s v="Check out our latest text on youtube!"/>
    <n v="4188"/>
    <n v="942"/>
    <n v="118"/>
    <n v="20940"/>
    <n v="5130.0056351480416"/>
    <n v="5248"/>
    <n v="20471"/>
    <n v="102"/>
    <s v="#LiveForNow"/>
    <m/>
    <m/>
    <m/>
    <m/>
    <m/>
    <x v="0"/>
    <x v="0"/>
    <x v="0"/>
    <x v="0"/>
  </r>
  <r>
    <s v="P277"/>
    <s v="Facebook"/>
    <s v="2025-04-06"/>
    <s v="Image"/>
    <s v="Check out our latest image on facebook!"/>
    <n v="4236"/>
    <n v="711"/>
    <n v="298"/>
    <n v="21180"/>
    <n v="4947.0140698772429"/>
    <n v="5245"/>
    <n v="20516"/>
    <n v="238"/>
    <s v="#LiveForNow"/>
    <m/>
    <m/>
    <m/>
    <m/>
    <s v="SummerSplash"/>
    <x v="0"/>
    <x v="0"/>
    <x v="0"/>
    <x v="0"/>
  </r>
  <r>
    <s v="P182"/>
    <s v="Facebook"/>
    <s v="2024-07-31"/>
    <s v="Image"/>
    <s v="Check out our latest image on facebook!"/>
    <n v="4689"/>
    <n v="134"/>
    <n v="403"/>
    <n v="51579"/>
    <n v="4823.0078132573335"/>
    <n v="5226"/>
    <n v="50924"/>
    <n v="173"/>
    <s v="#PepsiCoRefresh"/>
    <m/>
    <m/>
    <m/>
    <m/>
    <s v="DailyWellness"/>
    <x v="0"/>
    <x v="0"/>
    <x v="0"/>
    <x v="0"/>
  </r>
  <r>
    <s v="P163"/>
    <s v="Instagram"/>
    <s v="2025-04-08"/>
    <s v="Image"/>
    <s v="Check out our latest image on instagram!"/>
    <n v="4501"/>
    <n v="375"/>
    <n v="323"/>
    <n v="22505"/>
    <n v="4876.0143523661409"/>
    <n v="5199"/>
    <n v="21836"/>
    <n v="132"/>
    <s v="#PepsiCoRefresh"/>
    <m/>
    <m/>
    <m/>
    <m/>
    <s v="FestiveRadiance"/>
    <x v="0"/>
    <x v="0"/>
    <x v="0"/>
    <x v="0"/>
  </r>
  <r>
    <s v="P010"/>
    <s v="Facebook"/>
    <s v="2025-03-11"/>
    <s v="Image"/>
    <s v="Check out our latest image on facebook!"/>
    <n v="4241"/>
    <n v="902"/>
    <n v="47"/>
    <n v="72097"/>
    <n v="5143.0006518995242"/>
    <n v="5190"/>
    <n v="71598"/>
    <n v="167"/>
    <s v="#PepsiCoRefresh"/>
    <m/>
    <m/>
    <m/>
    <m/>
    <s v="FestiveRadiance"/>
    <x v="0"/>
    <x v="1"/>
    <x v="0"/>
    <x v="0"/>
  </r>
  <r>
    <s v="P036"/>
    <s v="Instagram"/>
    <s v="2025-04-19"/>
    <s v="Story"/>
    <s v="Check out our latest story on instagram!"/>
    <n v="4518"/>
    <n v="285"/>
    <n v="383"/>
    <n v="67770"/>
    <n v="4803.005651468201"/>
    <n v="5186"/>
    <n v="67621"/>
    <n v="31"/>
    <s v="#ThirstyForMore"/>
    <m/>
    <m/>
    <m/>
    <m/>
    <s v="FestiveRadiance"/>
    <x v="0"/>
    <x v="0"/>
    <x v="0"/>
    <x v="0"/>
  </r>
  <r>
    <s v="P294"/>
    <s v="Facebook"/>
    <s v="2024-06-19"/>
    <s v="Carousel"/>
    <s v="Check out our latest carousel on facebook!"/>
    <n v="4731"/>
    <n v="173"/>
    <n v="276"/>
    <n v="28386"/>
    <n v="4904.0097231029376"/>
    <n v="5180"/>
    <n v="28185"/>
    <n v="89"/>
    <s v="#ThirstyForMore"/>
    <m/>
    <m/>
    <m/>
    <m/>
    <s v="NewYearRefresh"/>
    <x v="1"/>
    <x v="0"/>
    <x v="0"/>
    <x v="0"/>
  </r>
  <r>
    <s v="P114"/>
    <s v="Twitter"/>
    <s v="2024-11-14"/>
    <s v="Story"/>
    <s v="Check out our latest story on twitter!"/>
    <n v="4000"/>
    <n v="689"/>
    <n v="488"/>
    <n v="40000"/>
    <n v="4689.0122000000001"/>
    <n v="5177"/>
    <n v="39569"/>
    <n v="44"/>
    <s v="#LiveForNow"/>
    <m/>
    <m/>
    <m/>
    <m/>
    <s v="SummerSplash"/>
    <x v="0"/>
    <x v="0"/>
    <x v="0"/>
    <x v="0"/>
  </r>
  <r>
    <s v="P092"/>
    <s v="Twitter"/>
    <s v="2024-10-21"/>
    <s v="Story"/>
    <s v="Check out our latest story on twitter!"/>
    <n v="3801"/>
    <n v="967"/>
    <n v="401"/>
    <n v="38010"/>
    <n v="4768.0105498553012"/>
    <n v="5169"/>
    <n v="37625"/>
    <n v="236"/>
    <s v="#LiveForNow"/>
    <m/>
    <m/>
    <m/>
    <m/>
    <s v="NewYearRefresh"/>
    <x v="0"/>
    <x v="0"/>
    <x v="1"/>
    <x v="0"/>
  </r>
  <r>
    <s v="P157"/>
    <s v="YouTube"/>
    <s v="2024-07-23"/>
    <s v="Story"/>
    <s v="Check out our latest story on youtube!"/>
    <n v="4775"/>
    <n v="173"/>
    <n v="206"/>
    <n v="47750"/>
    <n v="4948.0043141361257"/>
    <n v="5154"/>
    <n v="47544"/>
    <n v="187"/>
    <s v="#LiveForNow"/>
    <m/>
    <m/>
    <m/>
    <m/>
    <s v="FestiveRadiance"/>
    <x v="0"/>
    <x v="0"/>
    <x v="0"/>
    <x v="0"/>
  </r>
  <r>
    <s v="P123"/>
    <s v="Instagram"/>
    <s v="2024-06-14"/>
    <s v="Story"/>
    <s v="Check out our latest story on instagram!"/>
    <n v="4363"/>
    <n v="649"/>
    <n v="140"/>
    <n v="21815"/>
    <n v="5012.0064176025671"/>
    <n v="5152"/>
    <n v="21481"/>
    <n v="157"/>
    <s v="#ThirstyForMore"/>
    <m/>
    <m/>
    <m/>
    <m/>
    <s v="SummerSplash"/>
    <x v="0"/>
    <x v="0"/>
    <x v="0"/>
    <x v="0"/>
  </r>
  <r>
    <s v="P194"/>
    <s v="YouTube"/>
    <s v="2024-10-02"/>
    <s v="Story"/>
    <s v="Check out our latest story on youtube!"/>
    <n v="4350"/>
    <n v="771"/>
    <n v="7"/>
    <n v="60900"/>
    <n v="5121.0001149425289"/>
    <n v="5128"/>
    <n v="60592"/>
    <n v="195"/>
    <s v="#ThirstyForMore"/>
    <m/>
    <m/>
    <m/>
    <m/>
    <s v="SummerSplash"/>
    <x v="0"/>
    <x v="0"/>
    <x v="1"/>
    <x v="0"/>
  </r>
  <r>
    <s v="P266"/>
    <s v="Facebook"/>
    <s v="2024-11-25"/>
    <s v="Story"/>
    <s v="Check out our latest story on facebook!"/>
    <n v="4182"/>
    <n v="640"/>
    <n v="240"/>
    <n v="50184"/>
    <n v="4822.0047824007652"/>
    <n v="5062"/>
    <n v="49351"/>
    <n v="10"/>
    <s v="#PepsiCoRefresh"/>
    <m/>
    <m/>
    <m/>
    <m/>
    <s v="NewYearRefresh"/>
    <x v="0"/>
    <x v="0"/>
    <x v="0"/>
    <x v="0"/>
  </r>
  <r>
    <s v="P245"/>
    <s v="Facebook"/>
    <s v="2025-01-12"/>
    <s v="Reel"/>
    <s v="Check out our latest reel on facebook!"/>
    <n v="4134"/>
    <n v="824"/>
    <n v="99"/>
    <n v="41340"/>
    <n v="4958.002394775036"/>
    <n v="5057"/>
    <n v="41050"/>
    <n v="177"/>
    <s v="#ThirstyForMore"/>
    <m/>
    <m/>
    <m/>
    <m/>
    <s v="SummerSplash"/>
    <x v="0"/>
    <x v="0"/>
    <x v="0"/>
    <x v="0"/>
  </r>
  <r>
    <s v="P269"/>
    <s v="Instagram"/>
    <s v="2024-11-05"/>
    <s v="Video"/>
    <s v="Check out our latest video on instagram!"/>
    <n v="4561"/>
    <n v="51"/>
    <n v="441"/>
    <n v="22805"/>
    <n v="4612.0193378645035"/>
    <n v="5053"/>
    <n v="21890"/>
    <n v="45"/>
    <s v="#PepsiCoRefresh"/>
    <m/>
    <m/>
    <m/>
    <m/>
    <s v="FestiveRadiance"/>
    <x v="0"/>
    <x v="0"/>
    <x v="0"/>
    <x v="0"/>
  </r>
  <r>
    <s v="P298"/>
    <s v="Facebook"/>
    <s v="2024-10-24"/>
    <s v="Image"/>
    <s v="Check out our latest image on facebook!"/>
    <n v="4303"/>
    <n v="451"/>
    <n v="286"/>
    <n v="86060"/>
    <n v="4754.0033232628402"/>
    <n v="5040"/>
    <n v="85823"/>
    <n v="14"/>
    <s v="#PepsiCoRefresh"/>
    <m/>
    <m/>
    <m/>
    <m/>
    <s v="NewYearRefresh"/>
    <x v="0"/>
    <x v="0"/>
    <x v="1"/>
    <x v="0"/>
  </r>
  <r>
    <s v="P073"/>
    <s v="Facebook"/>
    <s v="2024-10-18"/>
    <s v="Story"/>
    <s v="Check out our latest story on facebook!"/>
    <n v="4126"/>
    <n v="426"/>
    <n v="486"/>
    <n v="78394"/>
    <n v="4552.0061994540401"/>
    <n v="5038"/>
    <n v="77798"/>
    <n v="88"/>
    <s v="#LiveForNow"/>
    <m/>
    <m/>
    <m/>
    <m/>
    <s v="DailyWellness"/>
    <x v="0"/>
    <x v="0"/>
    <x v="1"/>
    <x v="0"/>
  </r>
  <r>
    <s v="P291"/>
    <s v="Facebook"/>
    <s v="2024-11-06"/>
    <s v="Video"/>
    <s v="Check out our latest video on facebook!"/>
    <n v="4663"/>
    <n v="145"/>
    <n v="225"/>
    <n v="69945"/>
    <n v="4808.0032168132102"/>
    <n v="5033"/>
    <n v="69596"/>
    <n v="35"/>
    <s v="#ThirstyForMore"/>
    <m/>
    <m/>
    <m/>
    <m/>
    <s v="DailyWellness"/>
    <x v="0"/>
    <x v="0"/>
    <x v="0"/>
    <x v="0"/>
  </r>
  <r>
    <s v="P225"/>
    <s v="Twitter"/>
    <s v="2024-06-20"/>
    <s v="Carousel"/>
    <s v="Check out our latest carousel on twitter!"/>
    <n v="4672"/>
    <n v="325"/>
    <n v="32"/>
    <n v="88768"/>
    <n v="4997.0003604902668"/>
    <n v="5029"/>
    <n v="87833"/>
    <n v="118"/>
    <s v="#ThirstyForMore"/>
    <m/>
    <m/>
    <m/>
    <m/>
    <m/>
    <x v="1"/>
    <x v="0"/>
    <x v="0"/>
    <x v="0"/>
  </r>
  <r>
    <s v="P113"/>
    <s v="Twitter"/>
    <s v="2024-10-02"/>
    <s v="Carousel"/>
    <s v="Check out our latest carousel on twitter!"/>
    <n v="4419"/>
    <n v="236"/>
    <n v="369"/>
    <n v="44190"/>
    <n v="4655.0083503054993"/>
    <n v="5024"/>
    <n v="43582"/>
    <n v="10"/>
    <s v="#ThirstyForMore"/>
    <m/>
    <m/>
    <m/>
    <m/>
    <s v="SummerSplash"/>
    <x v="0"/>
    <x v="0"/>
    <x v="1"/>
    <x v="0"/>
  </r>
  <r>
    <s v="P017"/>
    <s v="Facebook"/>
    <s v="2025-05-05"/>
    <s v="Text"/>
    <s v="Check out our latest text on facebook!"/>
    <n v="4441"/>
    <n v="511"/>
    <n v="70"/>
    <n v="53292"/>
    <n v="4952.0013135179761"/>
    <n v="5022"/>
    <n v="53082"/>
    <n v="159"/>
    <s v="#ThirstyForMore"/>
    <m/>
    <m/>
    <m/>
    <m/>
    <s v="DailyWellness"/>
    <x v="0"/>
    <x v="0"/>
    <x v="0"/>
    <x v="0"/>
  </r>
  <r>
    <s v="P250"/>
    <s v="Facebook"/>
    <s v="2024-06-22"/>
    <s v="Reel"/>
    <s v="Check out our latest reel on facebook!"/>
    <n v="3813"/>
    <n v="935"/>
    <n v="274"/>
    <n v="68634"/>
    <n v="4748.0039921904599"/>
    <n v="5022"/>
    <n v="68488"/>
    <n v="251"/>
    <s v="#LiveForNow"/>
    <m/>
    <m/>
    <m/>
    <m/>
    <m/>
    <x v="1"/>
    <x v="0"/>
    <x v="0"/>
    <x v="0"/>
  </r>
  <r>
    <s v="P268"/>
    <s v="Instagram"/>
    <s v="2025-04-13"/>
    <s v="Reel"/>
    <s v="Check out our latest reel on instagram!"/>
    <n v="4579"/>
    <n v="125"/>
    <n v="300"/>
    <n v="59527"/>
    <n v="4704.0050397298701"/>
    <n v="5004"/>
    <n v="59400"/>
    <n v="269"/>
    <s v="#ThirstyForMore"/>
    <m/>
    <m/>
    <m/>
    <m/>
    <s v="SummerSplash"/>
    <x v="0"/>
    <x v="0"/>
    <x v="0"/>
    <x v="0"/>
  </r>
  <r>
    <s v="P009"/>
    <s v="Facebook"/>
    <s v="2024-08-30"/>
    <s v="Text"/>
    <s v="Check out our latest text on facebook!"/>
    <n v="3784"/>
    <n v="808"/>
    <n v="404"/>
    <n v="56760"/>
    <n v="4592.0071176885131"/>
    <n v="4996"/>
    <n v="56343"/>
    <n v="131"/>
    <s v="#PepsiCoRefresh"/>
    <m/>
    <m/>
    <m/>
    <m/>
    <s v="FestiveRadiance"/>
    <x v="0"/>
    <x v="0"/>
    <x v="0"/>
    <x v="0"/>
  </r>
  <r>
    <s v="P221"/>
    <s v="Facebook"/>
    <s v="2025-03-23"/>
    <s v="Video"/>
    <s v="Check out our latest video on facebook!"/>
    <n v="4453"/>
    <n v="111"/>
    <n v="420"/>
    <n v="31171"/>
    <n v="4564.0134740624299"/>
    <n v="4984"/>
    <n v="30565"/>
    <n v="23"/>
    <s v="#PepsiCoRefresh"/>
    <m/>
    <m/>
    <m/>
    <m/>
    <m/>
    <x v="0"/>
    <x v="1"/>
    <x v="0"/>
    <x v="0"/>
  </r>
  <r>
    <s v="P002"/>
    <s v="Twitter"/>
    <s v="2025-04-03"/>
    <s v="Text"/>
    <s v="Check out our latest text on twitter!"/>
    <n v="4054"/>
    <n v="389"/>
    <n v="493"/>
    <n v="64864"/>
    <n v="4443.0076005180072"/>
    <n v="4936"/>
    <n v="64383"/>
    <n v="117"/>
    <s v="#PepsiCoRefresh"/>
    <s v="#BetterWithPepsi"/>
    <m/>
    <m/>
    <m/>
    <s v="FestiveRadiance"/>
    <x v="0"/>
    <x v="0"/>
    <x v="0"/>
    <x v="0"/>
  </r>
  <r>
    <s v="P014"/>
    <s v="Facebook"/>
    <s v="2025-02-16"/>
    <s v="Story"/>
    <s v="Check out our latest story on facebook!"/>
    <n v="4242"/>
    <n v="555"/>
    <n v="131"/>
    <n v="33936"/>
    <n v="4797.0038602074492"/>
    <n v="4928"/>
    <n v="33802"/>
    <n v="265"/>
    <s v="#LiveForNow"/>
    <m/>
    <m/>
    <m/>
    <m/>
    <m/>
    <x v="0"/>
    <x v="0"/>
    <x v="0"/>
    <x v="0"/>
  </r>
  <r>
    <s v="P148"/>
    <s v="Instagram"/>
    <s v="2025-04-15"/>
    <s v="Video"/>
    <s v="Check out our latest video on instagram!"/>
    <n v="4133"/>
    <n v="466"/>
    <n v="327"/>
    <n v="24798"/>
    <n v="4599.0131865473022"/>
    <n v="4926"/>
    <n v="24620"/>
    <n v="176"/>
    <s v="#ThirstyForMore"/>
    <m/>
    <m/>
    <m/>
    <m/>
    <s v="DailyWellness"/>
    <x v="0"/>
    <x v="0"/>
    <x v="0"/>
    <x v="0"/>
  </r>
  <r>
    <s v="P090"/>
    <s v="Instagram"/>
    <s v="2024-06-03"/>
    <s v="Image"/>
    <s v="Check out our latest image on instagram!"/>
    <n v="3861"/>
    <n v="960"/>
    <n v="101"/>
    <n v="69498"/>
    <n v="4821.0014532792311"/>
    <n v="4922"/>
    <n v="68817"/>
    <n v="297"/>
    <s v="#PepsiCoRefresh"/>
    <m/>
    <m/>
    <m/>
    <m/>
    <s v="DailyWellness"/>
    <x v="0"/>
    <x v="0"/>
    <x v="0"/>
    <x v="0"/>
  </r>
  <r>
    <s v="P020"/>
    <s v="Instagram"/>
    <s v="2024-09-09"/>
    <s v="Carousel"/>
    <s v="Check out our latest carousel on instagram!"/>
    <n v="4054"/>
    <n v="488"/>
    <n v="373"/>
    <n v="77026"/>
    <n v="4542.0048425207069"/>
    <n v="4915"/>
    <n v="76881"/>
    <n v="25"/>
    <s v="#PepsiCoRefresh"/>
    <m/>
    <m/>
    <m/>
    <m/>
    <s v="SummerSplash"/>
    <x v="0"/>
    <x v="0"/>
    <x v="0"/>
    <x v="0"/>
  </r>
  <r>
    <s v="P135"/>
    <s v="Facebook"/>
    <s v="2024-11-28"/>
    <s v="Text"/>
    <s v="Check out our latest text on facebook!"/>
    <n v="4213"/>
    <n v="253"/>
    <n v="434"/>
    <n v="75834"/>
    <n v="4466.0057230266111"/>
    <n v="4900"/>
    <n v="75437"/>
    <n v="272"/>
    <s v="#LiveForNow"/>
    <m/>
    <m/>
    <m/>
    <m/>
    <s v="DailyWellness"/>
    <x v="0"/>
    <x v="0"/>
    <x v="0"/>
    <x v="0"/>
  </r>
  <r>
    <s v="P207"/>
    <s v="Twitter"/>
    <s v="2024-12-29"/>
    <s v="Carousel"/>
    <s v="Check out our latest carousel on twitter!"/>
    <n v="4274"/>
    <n v="340"/>
    <n v="281"/>
    <n v="34192"/>
    <n v="4614.008218296678"/>
    <n v="4895"/>
    <n v="33446"/>
    <n v="129"/>
    <s v="#PepsiCoRefresh"/>
    <s v="#SmoothLikeNitroPepsi"/>
    <m/>
    <m/>
    <m/>
    <s v="NewYearRefresh"/>
    <x v="0"/>
    <x v="0"/>
    <x v="0"/>
    <x v="1"/>
  </r>
  <r>
    <s v="P125"/>
    <s v="Twitter"/>
    <s v="2024-09-08"/>
    <s v="Carousel"/>
    <s v="Check out our latest carousel on twitter!"/>
    <n v="3811"/>
    <n v="866"/>
    <n v="216"/>
    <n v="34299"/>
    <n v="4677.0062975596957"/>
    <n v="4893"/>
    <n v="34088"/>
    <n v="233"/>
    <s v="#PepsiCoRefresh"/>
    <m/>
    <m/>
    <m/>
    <m/>
    <s v="DailyWellness"/>
    <x v="0"/>
    <x v="0"/>
    <x v="0"/>
    <x v="0"/>
  </r>
  <r>
    <s v="P285"/>
    <s v="YouTube"/>
    <s v="2024-07-18"/>
    <s v="Text"/>
    <s v="Check out our latest text on youtube!"/>
    <n v="4021"/>
    <n v="794"/>
    <n v="77"/>
    <n v="36189"/>
    <n v="4815.0021277183678"/>
    <n v="4892"/>
    <n v="35505"/>
    <n v="174"/>
    <s v="#ThirstyForMore"/>
    <m/>
    <m/>
    <m/>
    <m/>
    <m/>
    <x v="0"/>
    <x v="0"/>
    <x v="0"/>
    <x v="0"/>
  </r>
  <r>
    <s v="P243"/>
    <s v="Twitter"/>
    <s v="2025-03-06"/>
    <s v="Image"/>
    <s v="Check out our latest image on twitter!"/>
    <n v="3592"/>
    <n v="911"/>
    <n v="375"/>
    <n v="50288"/>
    <n v="4503.0074570474071"/>
    <n v="4878"/>
    <n v="49490"/>
    <n v="32"/>
    <s v="#LiveForNow"/>
    <m/>
    <m/>
    <m/>
    <m/>
    <s v="DailyWellness"/>
    <x v="0"/>
    <x v="1"/>
    <x v="0"/>
    <x v="0"/>
  </r>
  <r>
    <s v="P179"/>
    <s v="Facebook"/>
    <s v="2024-07-15"/>
    <s v="Carousel"/>
    <s v="Check out our latest carousel on facebook!"/>
    <n v="3796"/>
    <n v="667"/>
    <n v="395"/>
    <n v="64532"/>
    <n v="4463.0061209942351"/>
    <n v="4858"/>
    <n v="63550"/>
    <n v="292"/>
    <s v="#PepsiCoRefresh"/>
    <m/>
    <m/>
    <m/>
    <m/>
    <m/>
    <x v="1"/>
    <x v="0"/>
    <x v="0"/>
    <x v="0"/>
  </r>
  <r>
    <s v="P024"/>
    <s v="Facebook"/>
    <s v="2025-01-23"/>
    <s v="Video"/>
    <s v="Check out our latest video on facebook!"/>
    <n v="3961"/>
    <n v="761"/>
    <n v="131"/>
    <n v="67337"/>
    <n v="4722.0019454386147"/>
    <n v="4853"/>
    <n v="66615"/>
    <n v="161"/>
    <s v="#LiveForNow"/>
    <m/>
    <m/>
    <m/>
    <m/>
    <s v="NewYearRefresh"/>
    <x v="0"/>
    <x v="0"/>
    <x v="0"/>
    <x v="0"/>
  </r>
  <r>
    <s v="P237"/>
    <s v="Instagram"/>
    <s v="2024-10-22"/>
    <s v="Story"/>
    <s v="Check out our latest story on instagram!"/>
    <n v="3770"/>
    <n v="917"/>
    <n v="129"/>
    <n v="71630"/>
    <n v="4687.0018009214018"/>
    <n v="4816"/>
    <n v="71322"/>
    <n v="76"/>
    <s v="#LiveForNow"/>
    <m/>
    <m/>
    <m/>
    <m/>
    <s v="SummerSplash"/>
    <x v="0"/>
    <x v="0"/>
    <x v="1"/>
    <x v="0"/>
  </r>
  <r>
    <s v="P099"/>
    <s v="YouTube"/>
    <s v="2024-07-02"/>
    <s v="Carousel"/>
    <s v="Check out our latest carousel on youtube!"/>
    <n v="4171"/>
    <n v="548"/>
    <n v="86"/>
    <n v="66736"/>
    <n v="4719.0012886597942"/>
    <n v="4805"/>
    <n v="66634"/>
    <n v="173"/>
    <s v="#LiveForNow"/>
    <m/>
    <m/>
    <m/>
    <m/>
    <s v="NewYearRefresh"/>
    <x v="1"/>
    <x v="0"/>
    <x v="0"/>
    <x v="0"/>
  </r>
  <r>
    <s v="P085"/>
    <s v="Instagram"/>
    <s v="2025-04-19"/>
    <s v="Image"/>
    <s v="Check out our latest image on instagram!"/>
    <n v="4177"/>
    <n v="569"/>
    <n v="55"/>
    <n v="25062"/>
    <n v="4746.0021945574972"/>
    <n v="4801"/>
    <n v="24847"/>
    <n v="230"/>
    <s v="#LiveForNow"/>
    <m/>
    <m/>
    <m/>
    <m/>
    <s v="SummerSplash"/>
    <x v="0"/>
    <x v="0"/>
    <x v="0"/>
    <x v="0"/>
  </r>
  <r>
    <s v="P205"/>
    <s v="Twitter"/>
    <s v="2025-04-24"/>
    <s v="Video"/>
    <s v="Check out our latest video on twitter!"/>
    <n v="3820"/>
    <n v="697"/>
    <n v="268"/>
    <n v="45840"/>
    <n v="4517.0058464223384"/>
    <n v="4785"/>
    <n v="45631"/>
    <n v="171"/>
    <s v="#PepsiCoRefresh"/>
    <s v="#SmoothLikeNitroPepsi"/>
    <m/>
    <m/>
    <m/>
    <s v="DailyWellness"/>
    <x v="0"/>
    <x v="0"/>
    <x v="0"/>
    <x v="0"/>
  </r>
  <r>
    <s v="P212"/>
    <s v="YouTube"/>
    <s v="2025-03-03"/>
    <s v="Video"/>
    <s v="Check out our latest video on youtube!"/>
    <n v="3874"/>
    <n v="884"/>
    <n v="19"/>
    <n v="38740"/>
    <n v="4758.0004904491479"/>
    <n v="4777"/>
    <n v="38552"/>
    <n v="219"/>
    <s v="#PepsiCoRefresh"/>
    <m/>
    <m/>
    <m/>
    <m/>
    <s v="FestiveRadiance"/>
    <x v="0"/>
    <x v="1"/>
    <x v="0"/>
    <x v="0"/>
  </r>
  <r>
    <s v="P156"/>
    <s v="Facebook"/>
    <s v="2024-10-22"/>
    <s v="Carousel"/>
    <s v="Check out our latest carousel on facebook!"/>
    <n v="3352"/>
    <n v="941"/>
    <n v="482"/>
    <n v="43576"/>
    <n v="4293.0110611345699"/>
    <n v="4775"/>
    <n v="43338"/>
    <n v="240"/>
    <s v="#LiveForNow"/>
    <m/>
    <m/>
    <m/>
    <m/>
    <s v="FestiveRadiance"/>
    <x v="0"/>
    <x v="0"/>
    <x v="1"/>
    <x v="0"/>
  </r>
  <r>
    <s v="P110"/>
    <s v="Instagram"/>
    <s v="2024-07-29"/>
    <s v="Reel"/>
    <s v="Check out our latest reel on instagram!"/>
    <n v="3523"/>
    <n v="753"/>
    <n v="482"/>
    <n v="38753"/>
    <n v="4276.0124377467555"/>
    <n v="4758"/>
    <n v="38579"/>
    <n v="270"/>
    <s v="#ThirstyForMore"/>
    <m/>
    <m/>
    <m/>
    <m/>
    <s v="FestiveRadiance"/>
    <x v="0"/>
    <x v="0"/>
    <x v="0"/>
    <x v="0"/>
  </r>
  <r>
    <s v="P185"/>
    <s v="Instagram"/>
    <s v="2025-01-11"/>
    <s v="Carousel"/>
    <s v="Check out our latest carousel on instagram!"/>
    <n v="4523"/>
    <n v="61"/>
    <n v="157"/>
    <n v="49753"/>
    <n v="4584.003155588608"/>
    <n v="4741"/>
    <n v="49329"/>
    <n v="71"/>
    <s v="#ThirstyForMore"/>
    <m/>
    <m/>
    <m/>
    <m/>
    <m/>
    <x v="0"/>
    <x v="0"/>
    <x v="0"/>
    <x v="0"/>
  </r>
  <r>
    <s v="P063"/>
    <s v="Twitter"/>
    <s v="2024-07-31"/>
    <s v="Carousel"/>
    <s v="Check out our latest carousel on twitter!"/>
    <n v="4507"/>
    <n v="217"/>
    <n v="13"/>
    <n v="90140"/>
    <n v="4724.0001442201019"/>
    <n v="4737"/>
    <n v="89591"/>
    <n v="125"/>
    <s v="#LiveForNow"/>
    <m/>
    <m/>
    <m/>
    <m/>
    <s v="NewYearRefresh"/>
    <x v="0"/>
    <x v="0"/>
    <x v="0"/>
    <x v="0"/>
  </r>
  <r>
    <s v="P186"/>
    <s v="Facebook"/>
    <s v="2024-08-24"/>
    <s v="Carousel"/>
    <s v="Check out our latest carousel on facebook!"/>
    <n v="4292"/>
    <n v="51"/>
    <n v="392"/>
    <n v="55796"/>
    <n v="4343.0070255932324"/>
    <n v="4735"/>
    <n v="54826"/>
    <n v="264"/>
    <s v="#ThirstyForMore"/>
    <m/>
    <m/>
    <m/>
    <m/>
    <s v="NewYearRefresh"/>
    <x v="0"/>
    <x v="0"/>
    <x v="0"/>
    <x v="0"/>
  </r>
  <r>
    <s v="P005"/>
    <s v="YouTube"/>
    <s v="2024-06-26"/>
    <s v="Reel"/>
    <s v="Check out our latest reel on youtube!"/>
    <n v="3557"/>
    <n v="687"/>
    <n v="424"/>
    <n v="71140"/>
    <n v="4244.0059600787181"/>
    <n v="4668"/>
    <n v="70701"/>
    <n v="224"/>
    <s v="#ThirstyForMore"/>
    <s v="#PepsiCoRefresh"/>
    <m/>
    <m/>
    <m/>
    <s v="SummerSplash"/>
    <x v="1"/>
    <x v="0"/>
    <x v="0"/>
    <x v="0"/>
  </r>
  <r>
    <s v="P170"/>
    <s v="Twitter"/>
    <s v="2025-04-28"/>
    <s v="Text"/>
    <s v="Check out our latest text on twitter!"/>
    <n v="3577"/>
    <n v="596"/>
    <n v="493"/>
    <n v="67963"/>
    <n v="4173.0072539470002"/>
    <n v="4666"/>
    <n v="67839"/>
    <n v="53"/>
    <s v="#PepsiCoRefresh"/>
    <m/>
    <m/>
    <m/>
    <m/>
    <s v="NewYearRefresh"/>
    <x v="0"/>
    <x v="0"/>
    <x v="0"/>
    <x v="0"/>
  </r>
  <r>
    <s v="P015"/>
    <s v="Facebook"/>
    <s v="2024-10-24"/>
    <s v="Video"/>
    <s v="Check out our latest video on facebook!"/>
    <n v="3888"/>
    <n v="604"/>
    <n v="128"/>
    <n v="77760"/>
    <n v="4492.0016460905354"/>
    <n v="4620"/>
    <n v="77167"/>
    <n v="20"/>
    <s v="#LiveForNow"/>
    <m/>
    <m/>
    <m/>
    <m/>
    <s v="SummerSplash"/>
    <x v="0"/>
    <x v="0"/>
    <x v="1"/>
    <x v="0"/>
  </r>
  <r>
    <s v="P253"/>
    <s v="Twitter"/>
    <s v="2024-08-03"/>
    <s v="Reel"/>
    <s v="Check out our latest reel on twitter!"/>
    <n v="3791"/>
    <n v="593"/>
    <n v="228"/>
    <n v="53074"/>
    <n v="4384.0042958887589"/>
    <n v="4612"/>
    <n v="52613"/>
    <n v="205"/>
    <s v="#ThirstyForMore"/>
    <m/>
    <m/>
    <m/>
    <m/>
    <m/>
    <x v="0"/>
    <x v="0"/>
    <x v="0"/>
    <x v="0"/>
  </r>
  <r>
    <s v="P126"/>
    <s v="Instagram"/>
    <s v="2025-03-28"/>
    <s v="Carousel"/>
    <s v="Check out our latest carousel on instagram!"/>
    <n v="4158"/>
    <n v="167"/>
    <n v="241"/>
    <n v="45738"/>
    <n v="4325.0052691416331"/>
    <n v="4566"/>
    <n v="45183"/>
    <n v="142"/>
    <s v="#LiveForNow"/>
    <m/>
    <m/>
    <m/>
    <m/>
    <m/>
    <x v="0"/>
    <x v="1"/>
    <x v="0"/>
    <x v="0"/>
  </r>
  <r>
    <s v="P127"/>
    <s v="Facebook"/>
    <s v="2025-01-27"/>
    <s v="Reel"/>
    <s v="Check out our latest reel on facebook!"/>
    <n v="3452"/>
    <n v="652"/>
    <n v="442"/>
    <n v="65588"/>
    <n v="4104.0067390376289"/>
    <n v="4546"/>
    <n v="65049"/>
    <n v="158"/>
    <s v="#LiveForNow"/>
    <m/>
    <m/>
    <m/>
    <m/>
    <s v="NewYearRefresh"/>
    <x v="0"/>
    <x v="0"/>
    <x v="0"/>
    <x v="0"/>
  </r>
  <r>
    <s v="P255"/>
    <s v="Facebook"/>
    <s v="2025-04-03"/>
    <s v="Story"/>
    <s v="Check out our latest story on facebook!"/>
    <n v="3767"/>
    <n v="514"/>
    <n v="238"/>
    <n v="37670"/>
    <n v="4281.0063180249535"/>
    <n v="4519"/>
    <n v="36807"/>
    <n v="226"/>
    <s v="#LiveForNow"/>
    <m/>
    <m/>
    <m/>
    <m/>
    <s v="DailyWellness"/>
    <x v="0"/>
    <x v="0"/>
    <x v="0"/>
    <x v="0"/>
  </r>
  <r>
    <s v="P235"/>
    <s v="Facebook"/>
    <s v="2024-12-22"/>
    <s v="Image"/>
    <s v="Check out our latest image on facebook!"/>
    <n v="3196"/>
    <n v="941"/>
    <n v="376"/>
    <n v="35156"/>
    <n v="4137.0106951871658"/>
    <n v="4513"/>
    <n v="34444"/>
    <n v="241"/>
    <s v="#PepsiCoRefresh"/>
    <m/>
    <m/>
    <m/>
    <m/>
    <s v="NewYearRefresh"/>
    <x v="0"/>
    <x v="0"/>
    <x v="0"/>
    <x v="0"/>
  </r>
  <r>
    <s v="P104"/>
    <s v="YouTube"/>
    <s v="2025-03-23"/>
    <s v="Story"/>
    <s v="Check out our latest story on youtube!"/>
    <n v="3655"/>
    <n v="568"/>
    <n v="286"/>
    <n v="32895"/>
    <n v="4223.008694330445"/>
    <n v="4509"/>
    <n v="32015"/>
    <n v="199"/>
    <s v="#PepsiCoRefresh"/>
    <m/>
    <m/>
    <m/>
    <m/>
    <s v="NewYearRefresh"/>
    <x v="0"/>
    <x v="1"/>
    <x v="0"/>
    <x v="0"/>
  </r>
  <r>
    <s v="P008"/>
    <s v="YouTube"/>
    <s v="2024-07-13"/>
    <s v="Image"/>
    <s v="Check out our latest image on youtube!"/>
    <n v="3929"/>
    <n v="262"/>
    <n v="278"/>
    <n v="43219"/>
    <n v="4191.0064323561401"/>
    <n v="4469"/>
    <n v="42841"/>
    <n v="39"/>
    <s v="#ThirstyForMore"/>
    <m/>
    <m/>
    <m/>
    <m/>
    <s v="DailyWellness"/>
    <x v="1"/>
    <x v="0"/>
    <x v="0"/>
    <x v="0"/>
  </r>
  <r>
    <s v="P136"/>
    <s v="Instagram"/>
    <s v="2024-07-11"/>
    <s v="Text"/>
    <s v="Check out our latest text on instagram!"/>
    <n v="3134"/>
    <n v="888"/>
    <n v="444"/>
    <n v="21938"/>
    <n v="4022.0202388549551"/>
    <n v="4466"/>
    <n v="21337"/>
    <n v="130"/>
    <s v="#ThirstyForMore"/>
    <m/>
    <m/>
    <m/>
    <m/>
    <s v="DailyWellness"/>
    <x v="1"/>
    <x v="0"/>
    <x v="0"/>
    <x v="0"/>
  </r>
  <r>
    <s v="P271"/>
    <s v="Instagram"/>
    <s v="2024-10-17"/>
    <s v="Video"/>
    <s v="Check out our latest video on instagram!"/>
    <n v="3575"/>
    <n v="749"/>
    <n v="111"/>
    <n v="21450"/>
    <n v="4324.0051748251744"/>
    <n v="4435"/>
    <n v="20785"/>
    <n v="195"/>
    <s v="#ThirstyForMore"/>
    <m/>
    <m/>
    <m/>
    <m/>
    <s v="FestiveRadiance"/>
    <x v="0"/>
    <x v="0"/>
    <x v="1"/>
    <x v="0"/>
  </r>
  <r>
    <s v="P122"/>
    <s v="Instagram"/>
    <s v="2024-10-02"/>
    <s v="Text"/>
    <s v="Check out our latest text on instagram!"/>
    <n v="3432"/>
    <n v="869"/>
    <n v="123"/>
    <n v="54912"/>
    <n v="4301.0022399475529"/>
    <n v="4424"/>
    <n v="53916"/>
    <n v="264"/>
    <s v="#ThirstyForMore"/>
    <m/>
    <m/>
    <m/>
    <m/>
    <s v="FestiveRadiance"/>
    <x v="0"/>
    <x v="0"/>
    <x v="1"/>
    <x v="0"/>
  </r>
  <r>
    <s v="P200"/>
    <s v="Facebook"/>
    <s v="2025-04-07"/>
    <s v="Reel"/>
    <s v="Check out our latest reel on facebook!"/>
    <n v="3718"/>
    <n v="385"/>
    <n v="310"/>
    <n v="70642"/>
    <n v="4103.0043883242261"/>
    <n v="4413"/>
    <n v="69749"/>
    <n v="233"/>
    <s v="#PepsiCoRefresh"/>
    <m/>
    <m/>
    <m/>
    <m/>
    <s v="FestiveRadiance"/>
    <x v="0"/>
    <x v="0"/>
    <x v="0"/>
    <x v="0"/>
  </r>
  <r>
    <s v="P141"/>
    <s v="Twitter"/>
    <s v="2024-08-31"/>
    <s v="Image"/>
    <s v="Check out our latest image on twitter!"/>
    <n v="3170"/>
    <n v="857"/>
    <n v="379"/>
    <n v="19020"/>
    <n v="4027.0199263932705"/>
    <n v="4406"/>
    <n v="18559"/>
    <n v="240"/>
    <s v="#LiveForNow"/>
    <m/>
    <m/>
    <m/>
    <m/>
    <m/>
    <x v="0"/>
    <x v="0"/>
    <x v="0"/>
    <x v="0"/>
  </r>
  <r>
    <s v="P189"/>
    <s v="Facebook"/>
    <s v="2025-03-24"/>
    <s v="Reel"/>
    <s v="Check out our latest reel on facebook!"/>
    <n v="3360"/>
    <n v="525"/>
    <n v="500"/>
    <n v="60480"/>
    <n v="3885.0082671957671"/>
    <n v="4385"/>
    <n v="59610"/>
    <n v="192"/>
    <s v="#PepsiCoRefresh"/>
    <m/>
    <m/>
    <m/>
    <m/>
    <s v="SummerSplash"/>
    <x v="0"/>
    <x v="1"/>
    <x v="0"/>
    <x v="0"/>
  </r>
  <r>
    <s v="P184"/>
    <s v="Twitter"/>
    <s v="2024-07-28"/>
    <s v="Image"/>
    <s v="Check out our latest image on twitter!"/>
    <n v="3215"/>
    <n v="960"/>
    <n v="202"/>
    <n v="32150"/>
    <n v="4175.0062830482111"/>
    <n v="4377"/>
    <n v="31404"/>
    <n v="251"/>
    <s v="#ThirstyForMore"/>
    <m/>
    <m/>
    <m/>
    <m/>
    <s v="SummerSplash"/>
    <x v="0"/>
    <x v="0"/>
    <x v="0"/>
    <x v="0"/>
  </r>
  <r>
    <s v="P258"/>
    <s v="Instagram"/>
    <s v="2024-08-05"/>
    <s v="Story"/>
    <s v="Check out our latest story on instagram!"/>
    <n v="3601"/>
    <n v="695"/>
    <n v="75"/>
    <n v="21606"/>
    <n v="4296.0034712579836"/>
    <n v="4371"/>
    <n v="21454"/>
    <n v="172"/>
    <s v="#ThirstyForMore"/>
    <m/>
    <m/>
    <m/>
    <m/>
    <s v="FestiveRadiance"/>
    <x v="0"/>
    <x v="0"/>
    <x v="0"/>
    <x v="0"/>
  </r>
  <r>
    <s v="P039"/>
    <s v="Facebook"/>
    <s v="2024-11-25"/>
    <s v="Image"/>
    <s v="Check out our latest image on facebook!"/>
    <n v="3564"/>
    <n v="629"/>
    <n v="177"/>
    <n v="60588"/>
    <n v="4193.0029213705684"/>
    <n v="4370"/>
    <n v="59627"/>
    <n v="92"/>
    <s v="#PepsiCoRefresh"/>
    <m/>
    <m/>
    <m/>
    <m/>
    <m/>
    <x v="0"/>
    <x v="0"/>
    <x v="0"/>
    <x v="0"/>
  </r>
  <r>
    <s v="P180"/>
    <s v="YouTube"/>
    <s v="2024-12-03"/>
    <s v="Text"/>
    <s v="Check out our latest text on youtube!"/>
    <n v="3711"/>
    <n v="352"/>
    <n v="290"/>
    <n v="48243"/>
    <n v="4063.0060112347905"/>
    <n v="4353"/>
    <n v="47579"/>
    <n v="11"/>
    <s v="#PepsiCoRefresh"/>
    <m/>
    <m/>
    <m/>
    <m/>
    <s v="SummerSplash"/>
    <x v="0"/>
    <x v="0"/>
    <x v="0"/>
    <x v="0"/>
  </r>
  <r>
    <s v="P116"/>
    <s v="YouTube"/>
    <s v="2025-03-18"/>
    <s v="Reel"/>
    <s v="Check out our latest reel on youtube!"/>
    <n v="3704"/>
    <n v="186"/>
    <n v="458"/>
    <n v="25928"/>
    <n v="3890.0176643011418"/>
    <n v="4348"/>
    <n v="25081"/>
    <n v="131"/>
    <s v="#PepsiCoRefresh"/>
    <m/>
    <m/>
    <m/>
    <m/>
    <m/>
    <x v="0"/>
    <x v="1"/>
    <x v="0"/>
    <x v="0"/>
  </r>
  <r>
    <s v="P007"/>
    <s v="Twitter"/>
    <s v="2024-06-24"/>
    <s v="Carousel"/>
    <s v="Check out our latest carousel on twitter!"/>
    <n v="3860"/>
    <n v="201"/>
    <n v="279"/>
    <n v="61760"/>
    <n v="4061.0045174870465"/>
    <n v="4340"/>
    <n v="61660"/>
    <n v="235"/>
    <s v="#PepsiCoRefresh"/>
    <m/>
    <m/>
    <m/>
    <m/>
    <s v="FestiveRadiance"/>
    <x v="1"/>
    <x v="0"/>
    <x v="0"/>
    <x v="0"/>
  </r>
  <r>
    <s v="P037"/>
    <s v="Facebook"/>
    <s v="2025-01-06"/>
    <s v="Carousel"/>
    <s v="Check out our latest carousel on facebook!"/>
    <n v="3024"/>
    <n v="925"/>
    <n v="350"/>
    <n v="24192"/>
    <n v="3949.0144675925926"/>
    <n v="4299"/>
    <n v="23518"/>
    <n v="36"/>
    <s v="#ThirstyForMore"/>
    <m/>
    <m/>
    <m/>
    <m/>
    <s v="FestiveRadiance"/>
    <x v="0"/>
    <x v="0"/>
    <x v="0"/>
    <x v="1"/>
  </r>
  <r>
    <s v="P267"/>
    <s v="Twitter"/>
    <s v="2024-10-04"/>
    <s v="Reel"/>
    <s v="Check out our latest reel on twitter!"/>
    <n v="4187"/>
    <n v="66"/>
    <n v="31"/>
    <n v="66992"/>
    <n v="4253.0004627418202"/>
    <n v="4284"/>
    <n v="66614"/>
    <n v="62"/>
    <s v="#LiveForNow"/>
    <m/>
    <m/>
    <m/>
    <m/>
    <m/>
    <x v="0"/>
    <x v="0"/>
    <x v="1"/>
    <x v="0"/>
  </r>
  <r>
    <s v="P169"/>
    <s v="YouTube"/>
    <s v="2024-12-03"/>
    <s v="Video"/>
    <s v="Check out our latest video on youtube!"/>
    <n v="3809"/>
    <n v="273"/>
    <n v="200"/>
    <n v="34281"/>
    <n v="4082.005834135527"/>
    <n v="4282"/>
    <n v="33534"/>
    <n v="83"/>
    <s v="#ThirstyForMore"/>
    <m/>
    <m/>
    <m/>
    <m/>
    <s v="SummerSplash"/>
    <x v="0"/>
    <x v="0"/>
    <x v="0"/>
    <x v="0"/>
  </r>
  <r>
    <s v="P109"/>
    <s v="Twitter"/>
    <s v="2024-08-08"/>
    <s v="Story"/>
    <s v="Check out our latest story on twitter!"/>
    <n v="3649"/>
    <n v="215"/>
    <n v="413"/>
    <n v="25543"/>
    <n v="3864.0161688133735"/>
    <n v="4277"/>
    <n v="24963"/>
    <n v="167"/>
    <s v="#LiveForNow"/>
    <m/>
    <m/>
    <m/>
    <m/>
    <s v="NewYearRefresh"/>
    <x v="0"/>
    <x v="0"/>
    <x v="0"/>
    <x v="0"/>
  </r>
  <r>
    <s v="P247"/>
    <s v="Facebook"/>
    <s v="2024-08-27"/>
    <s v="Reel"/>
    <s v="Check out our latest reel on facebook!"/>
    <n v="3960"/>
    <n v="266"/>
    <n v="8"/>
    <n v="35640"/>
    <n v="4226.0002244668913"/>
    <n v="4234"/>
    <n v="34850"/>
    <n v="208"/>
    <s v="#LiveForNow"/>
    <s v="#ThirstyForMore"/>
    <s v="#BetterWithPepsi"/>
    <m/>
    <m/>
    <m/>
    <x v="0"/>
    <x v="0"/>
    <x v="0"/>
    <x v="0"/>
  </r>
  <r>
    <s v="P006"/>
    <s v="Facebook"/>
    <s v="2024-10-31"/>
    <s v="Carousel"/>
    <s v="Check out our latest carousel on facebook!"/>
    <n v="2945"/>
    <n v="930"/>
    <n v="355"/>
    <n v="23560"/>
    <n v="3875.0150679117146"/>
    <n v="4230"/>
    <n v="23275"/>
    <n v="256"/>
    <s v="#PepsiCoRefresh"/>
    <m/>
    <m/>
    <m/>
    <m/>
    <s v="FestiveRadiance"/>
    <x v="0"/>
    <x v="0"/>
    <x v="1"/>
    <x v="0"/>
  </r>
  <r>
    <s v="P174"/>
    <s v="Facebook"/>
    <s v="2024-06-22"/>
    <s v="Text"/>
    <s v="Check out our latest text on facebook!"/>
    <n v="3828"/>
    <n v="148"/>
    <n v="253"/>
    <n v="30624"/>
    <n v="3976.008261494253"/>
    <n v="4229"/>
    <n v="30229"/>
    <n v="235"/>
    <s v="#ThirstyForMore"/>
    <m/>
    <m/>
    <m/>
    <m/>
    <m/>
    <x v="1"/>
    <x v="0"/>
    <x v="0"/>
    <x v="0"/>
  </r>
  <r>
    <s v="P016"/>
    <s v="Facebook"/>
    <s v="2024-08-26"/>
    <s v="Text"/>
    <s v="Check out our latest text on facebook!"/>
    <n v="3452"/>
    <n v="377"/>
    <n v="360"/>
    <n v="55232"/>
    <n v="3829.0065179606027"/>
    <n v="4189"/>
    <n v="55075"/>
    <n v="87"/>
    <s v="#LiveForNow"/>
    <m/>
    <m/>
    <m/>
    <m/>
    <s v="NewYearRefresh"/>
    <x v="0"/>
    <x v="0"/>
    <x v="0"/>
    <x v="0"/>
  </r>
  <r>
    <s v="P274"/>
    <s v="Twitter"/>
    <s v="2025-01-01"/>
    <s v="Carousel"/>
    <s v="Check out our latest carousel on twitter!"/>
    <n v="3535"/>
    <n v="494"/>
    <n v="152"/>
    <n v="53025"/>
    <n v="4029.0028665723717"/>
    <n v="4181"/>
    <n v="52791"/>
    <n v="44"/>
    <s v="#PepsiCoRefresh"/>
    <m/>
    <m/>
    <m/>
    <m/>
    <s v="DailyWellness"/>
    <x v="0"/>
    <x v="0"/>
    <x v="0"/>
    <x v="1"/>
  </r>
  <r>
    <s v="P162"/>
    <s v="Facebook"/>
    <s v="2025-04-01"/>
    <s v="Story"/>
    <s v="Check out our latest story on facebook!"/>
    <n v="3430"/>
    <n v="566"/>
    <n v="164"/>
    <n v="48020"/>
    <n v="3996.0034152436483"/>
    <n v="4160"/>
    <n v="47305"/>
    <n v="120"/>
    <s v="#LiveForNow"/>
    <m/>
    <m/>
    <m/>
    <m/>
    <m/>
    <x v="0"/>
    <x v="0"/>
    <x v="0"/>
    <x v="0"/>
  </r>
  <r>
    <s v="P203"/>
    <s v="Instagram"/>
    <s v="2024-11-21"/>
    <s v="Carousel"/>
    <s v="Check out our latest carousel on instagram!"/>
    <n v="3773"/>
    <n v="299"/>
    <n v="38"/>
    <n v="71687"/>
    <n v="4072.0005300821626"/>
    <n v="4110"/>
    <n v="71447"/>
    <n v="286"/>
    <s v="#LiveForNow"/>
    <m/>
    <m/>
    <m/>
    <m/>
    <s v="SummerSplash"/>
    <x v="0"/>
    <x v="0"/>
    <x v="0"/>
    <x v="0"/>
  </r>
  <r>
    <s v="P176"/>
    <s v="Facebook"/>
    <s v="2024-06-20"/>
    <s v="Video"/>
    <s v="Check out our latest video on facebook!"/>
    <n v="3798"/>
    <n v="31"/>
    <n v="279"/>
    <n v="75960"/>
    <n v="3829.003672985782"/>
    <n v="4108"/>
    <n v="75813"/>
    <n v="266"/>
    <s v="#PepsiCoRefresh"/>
    <m/>
    <m/>
    <m/>
    <m/>
    <s v="SummerSplash"/>
    <x v="1"/>
    <x v="0"/>
    <x v="0"/>
    <x v="0"/>
  </r>
  <r>
    <s v="P270"/>
    <s v="YouTube"/>
    <s v="2025-01-15"/>
    <s v="Reel"/>
    <s v="Check out our latest reel on youtube!"/>
    <n v="3774"/>
    <n v="239"/>
    <n v="39"/>
    <n v="60384"/>
    <n v="4013.0006458664548"/>
    <n v="4052"/>
    <n v="59490"/>
    <n v="241"/>
    <s v="#PepsiCoRefresh"/>
    <m/>
    <m/>
    <m/>
    <m/>
    <s v="NewYearRefresh"/>
    <x v="0"/>
    <x v="0"/>
    <x v="0"/>
    <x v="0"/>
  </r>
  <r>
    <s v="P103"/>
    <s v="Facebook"/>
    <s v="2024-06-11"/>
    <s v="Image"/>
    <s v="Check out our latest image on facebook!"/>
    <n v="3689"/>
    <n v="48"/>
    <n v="306"/>
    <n v="40579"/>
    <n v="3737.0075408462503"/>
    <n v="4043"/>
    <n v="39588"/>
    <n v="212"/>
    <s v="#ThirstyForMore"/>
    <m/>
    <m/>
    <m/>
    <m/>
    <s v="FestiveRadiance"/>
    <x v="0"/>
    <x v="0"/>
    <x v="0"/>
    <x v="0"/>
  </r>
  <r>
    <s v="P035"/>
    <s v="Instagram"/>
    <s v="2024-11-30"/>
    <s v="Video"/>
    <s v="Check out our latest video on instagram!"/>
    <n v="3775"/>
    <n v="16"/>
    <n v="239"/>
    <n v="33975"/>
    <n v="3791.0070345842532"/>
    <n v="4030"/>
    <n v="33310"/>
    <n v="271"/>
    <s v="#LiveForNow"/>
    <m/>
    <m/>
    <m/>
    <m/>
    <s v="FestiveRadiance"/>
    <x v="0"/>
    <x v="0"/>
    <x v="0"/>
    <x v="0"/>
  </r>
  <r>
    <s v="P134"/>
    <s v="Twitter"/>
    <s v="2025-04-24"/>
    <s v="Reel"/>
    <s v="Check out our latest reel on twitter!"/>
    <n v="3731"/>
    <n v="115"/>
    <n v="135"/>
    <n v="55965"/>
    <n v="3846.0024122219243"/>
    <n v="3981"/>
    <n v="55436"/>
    <n v="103"/>
    <s v="#PepsiCoRefresh"/>
    <m/>
    <m/>
    <m/>
    <m/>
    <s v="SummerSplash"/>
    <x v="0"/>
    <x v="0"/>
    <x v="0"/>
    <x v="0"/>
  </r>
  <r>
    <s v="P147"/>
    <s v="Instagram"/>
    <s v="2024-10-21"/>
    <s v="Reel"/>
    <s v="Check out our latest reel on instagram!"/>
    <n v="3256"/>
    <n v="459"/>
    <n v="266"/>
    <n v="26048"/>
    <n v="3715.0102119164621"/>
    <n v="3981"/>
    <n v="25529"/>
    <n v="143"/>
    <s v="#PepsiCoRefresh"/>
    <m/>
    <m/>
    <m/>
    <m/>
    <s v="FestiveRadiance"/>
    <x v="0"/>
    <x v="0"/>
    <x v="1"/>
    <x v="0"/>
  </r>
  <r>
    <s v="P146"/>
    <s v="YouTube"/>
    <s v="2024-06-05"/>
    <s v="Reel"/>
    <s v="Check out our latest reel on youtube!"/>
    <n v="3065"/>
    <n v="772"/>
    <n v="142"/>
    <n v="18390"/>
    <n v="3837.0077215878196"/>
    <n v="3979"/>
    <n v="17875"/>
    <n v="200"/>
    <s v="#ThirstyForMore"/>
    <s v="#AnytimeIsPepsiTime"/>
    <m/>
    <m/>
    <m/>
    <m/>
    <x v="0"/>
    <x v="0"/>
    <x v="0"/>
    <x v="0"/>
  </r>
  <r>
    <s v="P230"/>
    <s v="Facebook"/>
    <s v="2024-07-15"/>
    <s v="Reel"/>
    <s v="Check out our latest reel on facebook!"/>
    <n v="3663"/>
    <n v="17"/>
    <n v="295"/>
    <n v="51282"/>
    <n v="3680.0057525057523"/>
    <n v="3975"/>
    <n v="50567"/>
    <n v="84"/>
    <s v="#ThirstyForMore"/>
    <m/>
    <m/>
    <m/>
    <m/>
    <s v="NewYearRefresh"/>
    <x v="1"/>
    <x v="0"/>
    <x v="0"/>
    <x v="0"/>
  </r>
  <r>
    <s v="P177"/>
    <s v="Instagram"/>
    <s v="2024-07-10"/>
    <s v="Carousel"/>
    <s v="Check out our latest carousel on instagram!"/>
    <n v="3099"/>
    <n v="694"/>
    <n v="171"/>
    <n v="43386"/>
    <n v="3793.0039413635736"/>
    <n v="3964"/>
    <n v="42921"/>
    <n v="52"/>
    <s v="#PepsiCoRefresh"/>
    <m/>
    <m/>
    <m/>
    <m/>
    <s v="NewYearRefresh"/>
    <x v="1"/>
    <x v="0"/>
    <x v="0"/>
    <x v="0"/>
  </r>
  <r>
    <s v="P286"/>
    <s v="YouTube"/>
    <s v="2024-09-25"/>
    <s v="Video"/>
    <s v="Check out our latest video on youtube!"/>
    <n v="3389"/>
    <n v="344"/>
    <n v="229"/>
    <n v="20334"/>
    <n v="3733.0112619258384"/>
    <n v="3962"/>
    <n v="19443"/>
    <n v="228"/>
    <s v="#LiveForNow"/>
    <m/>
    <m/>
    <m/>
    <m/>
    <s v="NewYearRefresh"/>
    <x v="0"/>
    <x v="0"/>
    <x v="0"/>
    <x v="0"/>
  </r>
  <r>
    <s v="P257"/>
    <s v="Facebook"/>
    <s v="2025-04-06"/>
    <s v="Image"/>
    <s v="Check out our latest image on facebook!"/>
    <n v="3090"/>
    <n v="697"/>
    <n v="164"/>
    <n v="49440"/>
    <n v="3787.0033171521036"/>
    <n v="3951"/>
    <n v="48524"/>
    <n v="25"/>
    <s v="#ThirstyForMore"/>
    <s v="#ThirstyForMore"/>
    <s v="#BetterWithPepsi"/>
    <m/>
    <m/>
    <s v="FestiveRadiance"/>
    <x v="0"/>
    <x v="0"/>
    <x v="0"/>
    <x v="0"/>
  </r>
  <r>
    <s v="P273"/>
    <s v="YouTube"/>
    <s v="2024-10-12"/>
    <s v="Story"/>
    <s v="Check out our latest story on youtube!"/>
    <n v="3641"/>
    <n v="226"/>
    <n v="46"/>
    <n v="40051"/>
    <n v="3867.0011485356172"/>
    <n v="3913"/>
    <n v="39319"/>
    <n v="296"/>
    <s v="#ThirstyForMore"/>
    <m/>
    <m/>
    <m/>
    <m/>
    <s v="DailyWellness"/>
    <x v="0"/>
    <x v="0"/>
    <x v="1"/>
    <x v="0"/>
  </r>
  <r>
    <s v="P151"/>
    <s v="Instagram"/>
    <s v="2024-07-26"/>
    <s v="Image"/>
    <s v="Check out our latest image on instagram!"/>
    <n v="3559"/>
    <n v="59"/>
    <n v="289"/>
    <n v="35590"/>
    <n v="3618.0081202584997"/>
    <n v="3907"/>
    <n v="35105"/>
    <n v="122"/>
    <s v="#ThirstyForMore"/>
    <m/>
    <m/>
    <m/>
    <m/>
    <s v="SummerSplash"/>
    <x v="0"/>
    <x v="0"/>
    <x v="0"/>
    <x v="0"/>
  </r>
  <r>
    <s v="P095"/>
    <s v="Instagram"/>
    <s v="2024-11-08"/>
    <s v="Text"/>
    <s v="Check out our latest text on instagram!"/>
    <n v="3182"/>
    <n v="559"/>
    <n v="160"/>
    <n v="57276"/>
    <n v="3741.0027934911654"/>
    <n v="3901"/>
    <n v="56890"/>
    <n v="163"/>
    <s v="#LiveForNow"/>
    <m/>
    <m/>
    <m/>
    <m/>
    <s v="DailyWellness"/>
    <x v="0"/>
    <x v="0"/>
    <x v="0"/>
    <x v="0"/>
  </r>
  <r>
    <s v="P208"/>
    <s v="YouTube"/>
    <s v="2024-06-24"/>
    <s v="Video"/>
    <s v="Check out our latest video on youtube!"/>
    <n v="2949"/>
    <n v="476"/>
    <n v="403"/>
    <n v="44235"/>
    <n v="3425.0091104329149"/>
    <n v="3828"/>
    <n v="43705"/>
    <n v="135"/>
    <s v="#PepsiCoRefresh"/>
    <m/>
    <m/>
    <m/>
    <m/>
    <s v="FestiveRadiance"/>
    <x v="1"/>
    <x v="0"/>
    <x v="0"/>
    <x v="0"/>
  </r>
  <r>
    <s v="P086"/>
    <s v="YouTube"/>
    <s v="2025-01-27"/>
    <s v="Text"/>
    <s v="Check out our latest text on youtube!"/>
    <n v="3428"/>
    <n v="305"/>
    <n v="85"/>
    <n v="58276"/>
    <n v="3733.0014585764293"/>
    <n v="3818"/>
    <n v="58052"/>
    <n v="242"/>
    <s v="#ThirstyForMore"/>
    <s v="#BetterWithPepsi"/>
    <m/>
    <m/>
    <m/>
    <s v="DailyWellness"/>
    <x v="0"/>
    <x v="0"/>
    <x v="0"/>
    <x v="0"/>
  </r>
  <r>
    <s v="P056"/>
    <s v="Facebook"/>
    <s v="2024-12-18"/>
    <s v="Carousel"/>
    <s v="Check out our latest carousel on facebook!"/>
    <n v="2946"/>
    <n v="498"/>
    <n v="367"/>
    <n v="29460"/>
    <n v="3444.0124575695859"/>
    <n v="3811"/>
    <n v="28527"/>
    <n v="60"/>
    <s v="#LiveForNow"/>
    <m/>
    <m/>
    <m/>
    <m/>
    <s v="NewYearRefresh"/>
    <x v="0"/>
    <x v="0"/>
    <x v="0"/>
    <x v="0"/>
  </r>
  <r>
    <s v="P045"/>
    <s v="Facebook"/>
    <s v="2024-11-01"/>
    <s v="Video"/>
    <s v="Check out our latest video on facebook!"/>
    <n v="3371"/>
    <n v="106"/>
    <n v="327"/>
    <n v="50565"/>
    <n v="3477.0064669237613"/>
    <n v="3804"/>
    <n v="49816"/>
    <n v="176"/>
    <s v="#LiveForNow"/>
    <m/>
    <m/>
    <m/>
    <m/>
    <s v="SummerSplash"/>
    <x v="0"/>
    <x v="0"/>
    <x v="0"/>
    <x v="0"/>
  </r>
  <r>
    <s v="P172"/>
    <s v="Facebook"/>
    <s v="2024-08-14"/>
    <s v="Carousel"/>
    <s v="Check out our latest carousel on facebook!"/>
    <n v="3073"/>
    <n v="553"/>
    <n v="174"/>
    <n v="52241"/>
    <n v="3626.0033307172525"/>
    <n v="3800"/>
    <n v="51605"/>
    <n v="246"/>
    <s v="#ThirstyForMore"/>
    <m/>
    <m/>
    <m/>
    <m/>
    <s v="NewYearRefresh"/>
    <x v="0"/>
    <x v="0"/>
    <x v="0"/>
    <x v="0"/>
  </r>
  <r>
    <s v="P026"/>
    <s v="YouTube"/>
    <s v="2025-04-05"/>
    <s v="Reel"/>
    <s v="Check out our latest reel on youtube!"/>
    <n v="3009"/>
    <n v="413"/>
    <n v="358"/>
    <n v="42126"/>
    <n v="3422.0084983145803"/>
    <n v="3780"/>
    <n v="41309"/>
    <n v="211"/>
    <s v="#LiveForNow"/>
    <m/>
    <m/>
    <m/>
    <m/>
    <s v="FestiveRadiance"/>
    <x v="0"/>
    <x v="0"/>
    <x v="0"/>
    <x v="0"/>
  </r>
  <r>
    <s v="P213"/>
    <s v="Facebook"/>
    <s v="2025-05-01"/>
    <s v="Carousel"/>
    <s v="Check out our latest carousel on facebook!"/>
    <n v="2696"/>
    <n v="628"/>
    <n v="443"/>
    <n v="45832"/>
    <n v="3324.0096657357303"/>
    <n v="3767"/>
    <n v="45632"/>
    <n v="248"/>
    <s v="#ThirstyForMore"/>
    <m/>
    <m/>
    <m/>
    <m/>
    <s v="DailyWellness"/>
    <x v="0"/>
    <x v="0"/>
    <x v="0"/>
    <x v="0"/>
  </r>
  <r>
    <s v="P223"/>
    <s v="Twitter"/>
    <s v="2024-11-12"/>
    <s v="Image"/>
    <s v="Check out our latest image on twitter!"/>
    <n v="3338"/>
    <n v="277"/>
    <n v="118"/>
    <n v="60084"/>
    <n v="3615.0019639171828"/>
    <n v="3733"/>
    <n v="59842"/>
    <n v="252"/>
    <s v="#PepsiCoRefresh"/>
    <m/>
    <m/>
    <m/>
    <m/>
    <m/>
    <x v="0"/>
    <x v="0"/>
    <x v="0"/>
    <x v="0"/>
  </r>
  <r>
    <s v="P283"/>
    <s v="Twitter"/>
    <s v="2025-05-09"/>
    <s v="Reel"/>
    <s v="Check out our latest reel on twitter!"/>
    <n v="3367"/>
    <n v="302"/>
    <n v="57"/>
    <n v="63973"/>
    <n v="3669.000891000891"/>
    <n v="3726"/>
    <n v="63789"/>
    <n v="157"/>
    <s v="#LiveForNow"/>
    <m/>
    <m/>
    <m/>
    <m/>
    <s v="FestiveRadiance"/>
    <x v="0"/>
    <x v="0"/>
    <x v="0"/>
    <x v="0"/>
  </r>
  <r>
    <s v="P018"/>
    <s v="Instagram"/>
    <s v="2024-08-19"/>
    <s v="Reel"/>
    <s v="Check out our latest reel on instagram!"/>
    <n v="3000"/>
    <n v="382"/>
    <n v="325"/>
    <n v="36000"/>
    <n v="3382.0090277777776"/>
    <n v="3707"/>
    <n v="35819"/>
    <n v="19"/>
    <s v="#LiveForNow"/>
    <m/>
    <m/>
    <m/>
    <m/>
    <s v="SummerSplash"/>
    <x v="0"/>
    <x v="0"/>
    <x v="0"/>
    <x v="0"/>
  </r>
  <r>
    <s v="P071"/>
    <s v="YouTube"/>
    <s v="2024-09-02"/>
    <s v="Carousel"/>
    <s v="Check out our latest carousel on youtube!"/>
    <n v="2551"/>
    <n v="915"/>
    <n v="205"/>
    <n v="30612"/>
    <n v="3466.0066967202406"/>
    <n v="3671"/>
    <n v="30360"/>
    <n v="227"/>
    <s v="#PepsiCoRefresh"/>
    <m/>
    <m/>
    <m/>
    <m/>
    <s v="FestiveRadiance"/>
    <x v="0"/>
    <x v="0"/>
    <x v="0"/>
    <x v="0"/>
  </r>
  <r>
    <s v="P209"/>
    <s v="Twitter"/>
    <s v="2025-03-19"/>
    <s v="Video"/>
    <s v="Check out our latest video on twitter!"/>
    <n v="3160"/>
    <n v="204"/>
    <n v="297"/>
    <n v="44240"/>
    <n v="3364.0067133815551"/>
    <n v="3661"/>
    <n v="43666"/>
    <n v="49"/>
    <s v="#LiveForNow"/>
    <s v="#AnytimeIsPepsiTime"/>
    <m/>
    <m/>
    <m/>
    <s v="DailyWellness"/>
    <x v="0"/>
    <x v="1"/>
    <x v="0"/>
    <x v="0"/>
  </r>
  <r>
    <s v="P057"/>
    <s v="Twitter"/>
    <s v="2024-10-21"/>
    <s v="Video"/>
    <s v="Check out our latest video on twitter!"/>
    <n v="2825"/>
    <n v="535"/>
    <n v="295"/>
    <n v="45200"/>
    <n v="3360.0065265486724"/>
    <n v="3655"/>
    <n v="44739"/>
    <n v="169"/>
    <s v="#PepsiCoRefresh"/>
    <m/>
    <m/>
    <m/>
    <m/>
    <s v="SummerSplash"/>
    <x v="0"/>
    <x v="0"/>
    <x v="1"/>
    <x v="0"/>
  </r>
  <r>
    <s v="P047"/>
    <s v="Twitter"/>
    <s v="2025-02-24"/>
    <s v="Carousel"/>
    <s v="Check out our latest carousel on twitter!"/>
    <n v="2704"/>
    <n v="752"/>
    <n v="153"/>
    <n v="21632"/>
    <n v="3456.0070728550295"/>
    <n v="3609"/>
    <n v="20792"/>
    <n v="127"/>
    <s v="#LiveForNow"/>
    <m/>
    <m/>
    <m/>
    <m/>
    <m/>
    <x v="0"/>
    <x v="0"/>
    <x v="0"/>
    <x v="0"/>
  </r>
  <r>
    <s v="P293"/>
    <s v="Facebook"/>
    <s v="2025-05-14"/>
    <s v="Text"/>
    <s v="Check out our latest text on facebook!"/>
    <n v="2634"/>
    <n v="726"/>
    <n v="241"/>
    <n v="28974"/>
    <n v="3360.0083178021673"/>
    <n v="3601"/>
    <n v="28102"/>
    <n v="277"/>
    <s v="#ThirstyForMore"/>
    <m/>
    <m/>
    <m/>
    <m/>
    <s v="SummerSplash"/>
    <x v="0"/>
    <x v="0"/>
    <x v="0"/>
    <x v="0"/>
  </r>
  <r>
    <s v="P281"/>
    <s v="YouTube"/>
    <s v="2025-03-22"/>
    <s v="Image"/>
    <s v="Check out our latest image on youtube!"/>
    <n v="3166"/>
    <n v="90"/>
    <n v="341"/>
    <n v="56988"/>
    <n v="3256.0059837158701"/>
    <n v="3597"/>
    <n v="56125"/>
    <n v="135"/>
    <s v="#ThirstyForMore"/>
    <m/>
    <m/>
    <m/>
    <m/>
    <s v="FestiveRadiance"/>
    <x v="0"/>
    <x v="1"/>
    <x v="0"/>
    <x v="0"/>
  </r>
  <r>
    <s v="P038"/>
    <s v="YouTube"/>
    <s v="2025-02-17"/>
    <s v="Reel"/>
    <s v="Check out our latest reel on youtube!"/>
    <n v="3138"/>
    <n v="123"/>
    <n v="291"/>
    <n v="28242"/>
    <n v="3261.0103038028469"/>
    <n v="3552"/>
    <n v="27550"/>
    <n v="87"/>
    <s v="#PepsiCoRefresh"/>
    <m/>
    <m/>
    <m/>
    <m/>
    <s v="DailyWellness"/>
    <x v="0"/>
    <x v="0"/>
    <x v="0"/>
    <x v="0"/>
  </r>
  <r>
    <s v="P064"/>
    <s v="Facebook"/>
    <s v="2024-08-17"/>
    <s v="Image"/>
    <s v="Check out our latest image on facebook!"/>
    <n v="2878"/>
    <n v="248"/>
    <n v="416"/>
    <n v="43170"/>
    <n v="3126.0096363215198"/>
    <n v="3542"/>
    <n v="42667"/>
    <n v="75"/>
    <s v="#LiveForNow"/>
    <m/>
    <m/>
    <m/>
    <m/>
    <s v="NewYearRefresh"/>
    <x v="0"/>
    <x v="0"/>
    <x v="0"/>
    <x v="0"/>
  </r>
  <r>
    <s v="P025"/>
    <s v="Twitter"/>
    <s v="2025-04-10"/>
    <s v="Carousel"/>
    <s v="Check out our latest carousel on twitter!"/>
    <n v="3128"/>
    <n v="211"/>
    <n v="197"/>
    <n v="59432"/>
    <n v="3339.0033147126128"/>
    <n v="3536"/>
    <n v="59182"/>
    <n v="238"/>
    <s v="#ThirstyForMore"/>
    <m/>
    <m/>
    <m/>
    <m/>
    <m/>
    <x v="0"/>
    <x v="0"/>
    <x v="0"/>
    <x v="0"/>
  </r>
  <r>
    <s v="P079"/>
    <s v="Instagram"/>
    <s v="2024-10-09"/>
    <s v="Carousel"/>
    <s v="Check out our latest carousel on instagram!"/>
    <n v="3068"/>
    <n v="137"/>
    <n v="329"/>
    <n v="39884"/>
    <n v="3205.0082489218735"/>
    <n v="3534"/>
    <n v="39404"/>
    <n v="266"/>
    <s v="#ThirstyForMore"/>
    <m/>
    <m/>
    <m/>
    <m/>
    <s v="FestiveRadiance"/>
    <x v="0"/>
    <x v="0"/>
    <x v="1"/>
    <x v="0"/>
  </r>
  <r>
    <s v="P263"/>
    <s v="Instagram"/>
    <s v="2024-08-20"/>
    <s v="Reel"/>
    <s v="Check out our latest reel on instagram!"/>
    <n v="2603"/>
    <n v="690"/>
    <n v="205"/>
    <n v="13015"/>
    <n v="3293.0157510564732"/>
    <n v="3498"/>
    <n v="12130"/>
    <n v="20"/>
    <s v="#LiveForNow"/>
    <m/>
    <m/>
    <m/>
    <m/>
    <s v="FestiveRadiance"/>
    <x v="0"/>
    <x v="0"/>
    <x v="0"/>
    <x v="0"/>
  </r>
  <r>
    <s v="P165"/>
    <s v="Twitter"/>
    <s v="2024-12-11"/>
    <s v="Text"/>
    <s v="Check out our latest text on twitter!"/>
    <n v="3239"/>
    <n v="43"/>
    <n v="211"/>
    <n v="22673"/>
    <n v="3282.0093062232613"/>
    <n v="3493"/>
    <n v="22171"/>
    <n v="230"/>
    <s v="#PepsiCoRefresh"/>
    <m/>
    <m/>
    <m/>
    <m/>
    <s v="FestiveRadiance"/>
    <x v="0"/>
    <x v="0"/>
    <x v="0"/>
    <x v="0"/>
  </r>
  <r>
    <s v="P128"/>
    <s v="Twitter"/>
    <s v="2025-01-10"/>
    <s v="Image"/>
    <s v="Check out our latest image on twitter!"/>
    <n v="3092"/>
    <n v="106"/>
    <n v="291"/>
    <n v="27828"/>
    <n v="3198.010457093575"/>
    <n v="3489"/>
    <n v="27217"/>
    <n v="102"/>
    <s v="#LiveForNow"/>
    <m/>
    <m/>
    <m/>
    <m/>
    <m/>
    <x v="0"/>
    <x v="0"/>
    <x v="0"/>
    <x v="1"/>
  </r>
  <r>
    <s v="P044"/>
    <s v="Twitter"/>
    <s v="2025-03-02"/>
    <s v="Image"/>
    <s v="Check out our latest image on twitter!"/>
    <n v="2358"/>
    <n v="784"/>
    <n v="344"/>
    <n v="35370"/>
    <n v="3142.0097257562907"/>
    <n v="3486"/>
    <n v="34475"/>
    <n v="216"/>
    <s v="#PepsiCoRefresh"/>
    <m/>
    <m/>
    <m/>
    <m/>
    <m/>
    <x v="0"/>
    <x v="1"/>
    <x v="0"/>
    <x v="0"/>
  </r>
  <r>
    <s v="P188"/>
    <s v="YouTube"/>
    <s v="2024-06-06"/>
    <s v="Reel"/>
    <s v="Check out our latest reel on youtube!"/>
    <n v="2728"/>
    <n v="533"/>
    <n v="215"/>
    <n v="40920"/>
    <n v="3261.0052541544478"/>
    <n v="3476"/>
    <n v="40816"/>
    <n v="137"/>
    <s v="#LiveForNow"/>
    <m/>
    <m/>
    <m/>
    <m/>
    <s v="FestiveRadiance"/>
    <x v="0"/>
    <x v="0"/>
    <x v="0"/>
    <x v="0"/>
  </r>
  <r>
    <s v="P296"/>
    <s v="Twitter"/>
    <s v="2025-02-11"/>
    <s v="Video"/>
    <s v="Check out our latest video on twitter!"/>
    <n v="3440"/>
    <n v="13"/>
    <n v="20"/>
    <n v="58480"/>
    <n v="3453.0003419972641"/>
    <n v="3473"/>
    <n v="58146"/>
    <n v="210"/>
    <s v="#PepsiCoRefresh"/>
    <s v="#SmoothLikeNitroPepsi"/>
    <m/>
    <m/>
    <m/>
    <s v="DailyWellness"/>
    <x v="0"/>
    <x v="0"/>
    <x v="0"/>
    <x v="0"/>
  </r>
  <r>
    <s v="P130"/>
    <s v="YouTube"/>
    <s v="2024-09-29"/>
    <s v="Reel"/>
    <s v="Check out our latest reel on youtube!"/>
    <n v="2936"/>
    <n v="439"/>
    <n v="44"/>
    <n v="38168"/>
    <n v="3375.0011527981555"/>
    <n v="3419"/>
    <n v="37571"/>
    <n v="22"/>
    <s v="#ThirstyForMore"/>
    <m/>
    <m/>
    <m/>
    <m/>
    <s v="DailyWellness"/>
    <x v="0"/>
    <x v="0"/>
    <x v="0"/>
    <x v="0"/>
  </r>
  <r>
    <s v="P204"/>
    <s v="Instagram"/>
    <s v="2025-01-01"/>
    <s v="Carousel"/>
    <s v="Check out our latest carousel on instagram!"/>
    <n v="2234"/>
    <n v="653"/>
    <n v="432"/>
    <n v="11170"/>
    <n v="2887.0386750223815"/>
    <n v="3319"/>
    <n v="10569"/>
    <n v="198"/>
    <s v="#LiveForNow"/>
    <m/>
    <m/>
    <m/>
    <m/>
    <s v="NewYearRefresh"/>
    <x v="0"/>
    <x v="0"/>
    <x v="0"/>
    <x v="1"/>
  </r>
  <r>
    <s v="P168"/>
    <s v="Facebook"/>
    <s v="2024-11-12"/>
    <s v="Text"/>
    <s v="Check out our latest text on facebook!"/>
    <n v="2418"/>
    <n v="754"/>
    <n v="54"/>
    <n v="43524"/>
    <n v="3172.001240694789"/>
    <n v="3226"/>
    <n v="42743"/>
    <n v="182"/>
    <s v="#ThirstyForMore"/>
    <m/>
    <m/>
    <m/>
    <m/>
    <s v="SummerSplash"/>
    <x v="0"/>
    <x v="0"/>
    <x v="0"/>
    <x v="0"/>
  </r>
  <r>
    <s v="P299"/>
    <s v="Facebook"/>
    <s v="2024-08-26"/>
    <s v="Image"/>
    <s v="Check out our latest image on facebook!"/>
    <n v="2581"/>
    <n v="517"/>
    <n v="117"/>
    <n v="23229"/>
    <n v="3098.005036807439"/>
    <n v="3215"/>
    <n v="22331"/>
    <n v="70"/>
    <s v="#LiveForNow"/>
    <m/>
    <m/>
    <m/>
    <m/>
    <s v="NewYearRefresh"/>
    <x v="0"/>
    <x v="0"/>
    <x v="0"/>
    <x v="0"/>
  </r>
  <r>
    <s v="P289"/>
    <s v="Facebook"/>
    <s v="2024-11-28"/>
    <s v="Carousel"/>
    <s v="Check out our latest carousel on facebook!"/>
    <n v="2751"/>
    <n v="33"/>
    <n v="430"/>
    <n v="44016"/>
    <n v="2784.0097691748456"/>
    <n v="3214"/>
    <n v="43415"/>
    <n v="129"/>
    <s v="#LiveForNow"/>
    <m/>
    <m/>
    <m/>
    <m/>
    <m/>
    <x v="0"/>
    <x v="0"/>
    <x v="0"/>
    <x v="0"/>
  </r>
  <r>
    <s v="P030"/>
    <s v="Instagram"/>
    <s v="2025-02-25"/>
    <s v="Video"/>
    <s v="Check out our latest video on instagram!"/>
    <n v="3095"/>
    <n v="39"/>
    <n v="78"/>
    <n v="55710"/>
    <n v="3134.0014001077006"/>
    <n v="3212"/>
    <n v="54808"/>
    <n v="93"/>
    <s v="#ThirstyForMore"/>
    <m/>
    <m/>
    <m/>
    <m/>
    <m/>
    <x v="0"/>
    <x v="0"/>
    <x v="0"/>
    <x v="0"/>
  </r>
  <r>
    <s v="P137"/>
    <s v="Facebook"/>
    <s v="2024-07-31"/>
    <s v="Video"/>
    <s v="Check out our latest video on facebook!"/>
    <n v="3008"/>
    <n v="94"/>
    <n v="37"/>
    <n v="15040"/>
    <n v="3102.0024601063828"/>
    <n v="3139"/>
    <n v="14639"/>
    <n v="277"/>
    <s v="#LiveForNow"/>
    <m/>
    <m/>
    <m/>
    <m/>
    <m/>
    <x v="0"/>
    <x v="0"/>
    <x v="0"/>
    <x v="0"/>
  </r>
  <r>
    <s v="P119"/>
    <s v="Instagram"/>
    <s v="2025-02-07"/>
    <s v="Reel"/>
    <s v="Check out our latest reel on instagram!"/>
    <n v="1970"/>
    <n v="675"/>
    <n v="478"/>
    <n v="9850"/>
    <n v="2645.0485279187819"/>
    <n v="3123"/>
    <n v="8924"/>
    <n v="117"/>
    <s v="#LiveForNow"/>
    <m/>
    <m/>
    <m/>
    <m/>
    <m/>
    <x v="0"/>
    <x v="0"/>
    <x v="0"/>
    <x v="0"/>
  </r>
  <r>
    <s v="P094"/>
    <s v="Instagram"/>
    <s v="2024-11-07"/>
    <s v="Image"/>
    <s v="Check out our latest image on instagram!"/>
    <n v="2647"/>
    <n v="304"/>
    <n v="170"/>
    <n v="18529"/>
    <n v="2951.009174807059"/>
    <n v="3121"/>
    <n v="17841"/>
    <n v="46"/>
    <s v="#LiveForNow"/>
    <m/>
    <m/>
    <m/>
    <m/>
    <s v="NewYearRefresh"/>
    <x v="0"/>
    <x v="0"/>
    <x v="0"/>
    <x v="0"/>
  </r>
  <r>
    <s v="P139"/>
    <s v="YouTube"/>
    <s v="2024-10-29"/>
    <s v="Text"/>
    <s v="Check out our latest text on youtube!"/>
    <n v="2746"/>
    <n v="156"/>
    <n v="203"/>
    <n v="32952"/>
    <n v="2902.0061604758434"/>
    <n v="3105"/>
    <n v="32147"/>
    <n v="147"/>
    <s v="#ThirstyForMore"/>
    <m/>
    <m/>
    <m/>
    <m/>
    <s v="SummerSplash"/>
    <x v="0"/>
    <x v="0"/>
    <x v="1"/>
    <x v="0"/>
  </r>
  <r>
    <s v="P080"/>
    <s v="Instagram"/>
    <s v="2024-06-13"/>
    <s v="Story"/>
    <s v="Check out our latest story on instagram!"/>
    <n v="2103"/>
    <n v="892"/>
    <n v="103"/>
    <n v="39957"/>
    <n v="2995.0025777711039"/>
    <n v="3098"/>
    <n v="39466"/>
    <n v="28"/>
    <s v="#LiveForNow"/>
    <m/>
    <m/>
    <m/>
    <m/>
    <m/>
    <x v="0"/>
    <x v="0"/>
    <x v="0"/>
    <x v="0"/>
  </r>
  <r>
    <s v="P112"/>
    <s v="Twitter"/>
    <s v="2024-10-05"/>
    <s v="Story"/>
    <s v="Check out our latest story on twitter!"/>
    <n v="1957"/>
    <n v="877"/>
    <n v="238"/>
    <n v="17613"/>
    <n v="2834.0135127462668"/>
    <n v="3072"/>
    <n v="16865"/>
    <n v="297"/>
    <s v="#LiveForNow"/>
    <m/>
    <m/>
    <m/>
    <m/>
    <s v="NewYearRefresh"/>
    <x v="0"/>
    <x v="0"/>
    <x v="1"/>
    <x v="0"/>
  </r>
  <r>
    <s v="P054"/>
    <s v="YouTube"/>
    <s v="2025-03-13"/>
    <s v="Carousel"/>
    <s v="Check out our latest carousel on youtube!"/>
    <n v="1686"/>
    <n v="904"/>
    <n v="472"/>
    <n v="18546"/>
    <n v="2590.0254502318558"/>
    <n v="3062"/>
    <n v="18171"/>
    <n v="52"/>
    <s v="#LiveForNow"/>
    <m/>
    <m/>
    <m/>
    <m/>
    <s v="FestiveRadiance"/>
    <x v="0"/>
    <x v="1"/>
    <x v="0"/>
    <x v="0"/>
  </r>
  <r>
    <s v="P084"/>
    <s v="Facebook"/>
    <s v="2024-12-09"/>
    <s v="Image"/>
    <s v="Check out our latest image on facebook!"/>
    <n v="1841"/>
    <n v="851"/>
    <n v="342"/>
    <n v="34979"/>
    <n v="2692.0097772949484"/>
    <n v="3034"/>
    <n v="34154"/>
    <n v="255"/>
    <s v="#LiveForNow"/>
    <m/>
    <m/>
    <m/>
    <m/>
    <s v="DailyWellness"/>
    <x v="0"/>
    <x v="0"/>
    <x v="0"/>
    <x v="0"/>
  </r>
  <r>
    <s v="P068"/>
    <s v="Instagram"/>
    <s v="2024-12-08"/>
    <s v="Story"/>
    <s v="Check out our latest story on instagram!"/>
    <n v="2610"/>
    <n v="126"/>
    <n v="288"/>
    <n v="15660"/>
    <n v="2736.0183908045979"/>
    <n v="3024"/>
    <n v="15145"/>
    <n v="73"/>
    <s v="#ThirstyForMore"/>
    <m/>
    <m/>
    <m/>
    <m/>
    <m/>
    <x v="0"/>
    <x v="0"/>
    <x v="0"/>
    <x v="0"/>
  </r>
  <r>
    <s v="P111"/>
    <s v="YouTube"/>
    <s v="2024-11-23"/>
    <s v="Image"/>
    <s v="Check out our latest image on youtube!"/>
    <n v="2719"/>
    <n v="17"/>
    <n v="285"/>
    <n v="40785"/>
    <n v="2736.0069878631848"/>
    <n v="3021"/>
    <n v="40281"/>
    <n v="40"/>
    <s v="#PepsiCoRefresh"/>
    <m/>
    <m/>
    <m/>
    <m/>
    <s v="FestiveRadiance"/>
    <x v="0"/>
    <x v="0"/>
    <x v="0"/>
    <x v="0"/>
  </r>
  <r>
    <s v="P012"/>
    <s v="Facebook"/>
    <s v="2024-07-21"/>
    <s v="Reel"/>
    <s v="Check out our latest reel on facebook!"/>
    <n v="1946"/>
    <n v="686"/>
    <n v="377"/>
    <n v="23352"/>
    <n v="2632.0161442274753"/>
    <n v="3009"/>
    <n v="22982"/>
    <n v="213"/>
    <s v="#LiveForNow"/>
    <m/>
    <m/>
    <m/>
    <m/>
    <s v="NewYearRefresh"/>
    <x v="0"/>
    <x v="0"/>
    <x v="0"/>
    <x v="0"/>
  </r>
  <r>
    <s v="P290"/>
    <s v="Instagram"/>
    <s v="2024-12-20"/>
    <s v="Carousel"/>
    <s v="Check out our latest carousel on instagram!"/>
    <n v="2107"/>
    <n v="550"/>
    <n v="349"/>
    <n v="35819"/>
    <n v="2657.0097434322565"/>
    <n v="3006"/>
    <n v="35340"/>
    <n v="191"/>
    <s v="#ThirstyForMore"/>
    <m/>
    <m/>
    <m/>
    <m/>
    <s v="DailyWellness"/>
    <x v="0"/>
    <x v="0"/>
    <x v="0"/>
    <x v="0"/>
  </r>
  <r>
    <s v="P199"/>
    <s v="YouTube"/>
    <s v="2024-11-30"/>
    <s v="Carousel"/>
    <s v="Check out our latest carousel on youtube!"/>
    <n v="2509"/>
    <n v="324"/>
    <n v="171"/>
    <n v="35126"/>
    <n v="2833.0048681888061"/>
    <n v="3004"/>
    <n v="34685"/>
    <n v="277"/>
    <s v="#PepsiCoRefresh"/>
    <m/>
    <m/>
    <m/>
    <m/>
    <s v="FestiveRadiance"/>
    <x v="0"/>
    <x v="0"/>
    <x v="0"/>
    <x v="0"/>
  </r>
  <r>
    <s v="P049"/>
    <s v="Twitter"/>
    <s v="2024-06-10"/>
    <s v="Story"/>
    <s v="Check out our latest story on twitter!"/>
    <n v="2164"/>
    <n v="549"/>
    <n v="274"/>
    <n v="28132"/>
    <n v="2713.0097397980949"/>
    <n v="2987"/>
    <n v="27361"/>
    <n v="177"/>
    <s v="#PepsiCoRefresh"/>
    <m/>
    <m/>
    <m/>
    <m/>
    <s v="DailyWellness"/>
    <x v="0"/>
    <x v="0"/>
    <x v="0"/>
    <x v="0"/>
  </r>
  <r>
    <s v="P050"/>
    <s v="YouTube"/>
    <s v="2024-07-03"/>
    <s v="Story"/>
    <s v="Check out our latest story on youtube!"/>
    <n v="2754"/>
    <n v="130"/>
    <n v="90"/>
    <n v="22032"/>
    <n v="2884.0040849673201"/>
    <n v="2974"/>
    <n v="21288"/>
    <n v="112"/>
    <s v="#PepsiCoRefresh"/>
    <m/>
    <m/>
    <m/>
    <m/>
    <s v="NewYearRefresh"/>
    <x v="1"/>
    <x v="0"/>
    <x v="0"/>
    <x v="0"/>
  </r>
  <r>
    <s v="P129"/>
    <s v="Twitter"/>
    <s v="2024-07-21"/>
    <s v="Text"/>
    <s v="Check out our latest text on twitter!"/>
    <n v="2147"/>
    <n v="430"/>
    <n v="393"/>
    <n v="17176"/>
    <n v="2577.0228807638564"/>
    <n v="2970"/>
    <n v="16483"/>
    <n v="170"/>
    <s v="#PepsiCoRefresh"/>
    <m/>
    <m/>
    <m/>
    <m/>
    <m/>
    <x v="0"/>
    <x v="0"/>
    <x v="0"/>
    <x v="0"/>
  </r>
  <r>
    <s v="P003"/>
    <s v="YouTube"/>
    <s v="2025-05-12"/>
    <s v="Reel"/>
    <s v="Check out our latest reel on youtube!"/>
    <n v="2795"/>
    <n v="105"/>
    <n v="49"/>
    <n v="53105"/>
    <n v="2900.0009227003106"/>
    <n v="2949"/>
    <n v="52307"/>
    <n v="204"/>
    <s v="#PepsiCoRefresh"/>
    <m/>
    <m/>
    <m/>
    <m/>
    <s v="NewYearRefresh"/>
    <x v="0"/>
    <x v="0"/>
    <x v="0"/>
    <x v="0"/>
  </r>
  <r>
    <s v="P051"/>
    <s v="Facebook"/>
    <s v="2024-06-13"/>
    <s v="Carousel"/>
    <s v="Check out our latest carousel on facebook!"/>
    <n v="2200"/>
    <n v="504"/>
    <n v="239"/>
    <n v="37400"/>
    <n v="2704.0063903743317"/>
    <n v="2943"/>
    <n v="36938"/>
    <n v="225"/>
    <s v="#LiveForNow"/>
    <m/>
    <m/>
    <m/>
    <m/>
    <s v="FestiveRadiance"/>
    <x v="0"/>
    <x v="0"/>
    <x v="0"/>
    <x v="0"/>
  </r>
  <r>
    <s v="P275"/>
    <s v="Facebook"/>
    <s v="2024-08-05"/>
    <s v="Reel"/>
    <s v="Check out our latest reel on facebook!"/>
    <n v="1741"/>
    <n v="831"/>
    <n v="345"/>
    <n v="17410"/>
    <n v="2572.0198161975877"/>
    <n v="2917"/>
    <n v="16844"/>
    <n v="58"/>
    <s v="#ThirstyForMore"/>
    <m/>
    <m/>
    <m/>
    <m/>
    <s v="NewYearRefresh"/>
    <x v="0"/>
    <x v="0"/>
    <x v="0"/>
    <x v="0"/>
  </r>
  <r>
    <s v="P004"/>
    <s v="Instagram"/>
    <s v="2024-08-12"/>
    <s v="Story"/>
    <s v="Check out our latest story on instagram!"/>
    <n v="2404"/>
    <n v="363"/>
    <n v="138"/>
    <n v="19232"/>
    <n v="2767.0071755407653"/>
    <n v="2905"/>
    <n v="18636"/>
    <n v="128"/>
    <s v="#ThirstyForMore"/>
    <m/>
    <m/>
    <m/>
    <m/>
    <s v="DailyWellness"/>
    <x v="0"/>
    <x v="0"/>
    <x v="0"/>
    <x v="0"/>
  </r>
  <r>
    <s v="P011"/>
    <s v="Instagram"/>
    <s v="2025-02-02"/>
    <s v="Story"/>
    <s v="Check out our latest story on instagram!"/>
    <n v="1792"/>
    <n v="614"/>
    <n v="497"/>
    <n v="25088"/>
    <n v="2406.0198102678573"/>
    <n v="2903"/>
    <n v="24675"/>
    <n v="65"/>
    <s v="#LiveForNow"/>
    <m/>
    <m/>
    <m/>
    <m/>
    <s v="DailyWellness"/>
    <x v="0"/>
    <x v="0"/>
    <x v="0"/>
    <x v="0"/>
  </r>
  <r>
    <s v="P132"/>
    <s v="Instagram"/>
    <s v="2025-03-04"/>
    <s v="Story"/>
    <s v="Check out our latest story on instagram!"/>
    <n v="1947"/>
    <n v="842"/>
    <n v="101"/>
    <n v="21417"/>
    <n v="2789.0047158799084"/>
    <n v="2890"/>
    <n v="20967"/>
    <n v="186"/>
    <s v="#LiveForNow"/>
    <m/>
    <m/>
    <m/>
    <m/>
    <s v="FestiveRadiance"/>
    <x v="0"/>
    <x v="1"/>
    <x v="0"/>
    <x v="0"/>
  </r>
  <r>
    <s v="P254"/>
    <s v="Twitter"/>
    <s v="2025-01-14"/>
    <s v="Image"/>
    <s v="Check out our latest image on twitter!"/>
    <n v="2692"/>
    <n v="115"/>
    <n v="64"/>
    <n v="21536"/>
    <n v="2807.0029717682019"/>
    <n v="2871"/>
    <n v="21120"/>
    <n v="224"/>
    <s v="#LiveForNow"/>
    <m/>
    <m/>
    <m/>
    <m/>
    <s v="FestiveRadiance"/>
    <x v="0"/>
    <x v="0"/>
    <x v="0"/>
    <x v="0"/>
  </r>
  <r>
    <s v="P140"/>
    <s v="Facebook"/>
    <s v="2024-07-15"/>
    <s v="Image"/>
    <s v="Check out our latest image on facebook!"/>
    <n v="2291"/>
    <n v="78"/>
    <n v="485"/>
    <n v="18328"/>
    <n v="2369.0264622435616"/>
    <n v="2854"/>
    <n v="18101"/>
    <n v="10"/>
    <s v="#ThirstyForMore"/>
    <s v="#SmoothLikeNitroPepsi"/>
    <m/>
    <m/>
    <m/>
    <s v="FestiveRadiance"/>
    <x v="1"/>
    <x v="0"/>
    <x v="0"/>
    <x v="0"/>
  </r>
  <r>
    <s v="P043"/>
    <s v="Instagram"/>
    <s v="2024-12-14"/>
    <s v="Carousel"/>
    <s v="Check out our latest carousel on instagram!"/>
    <n v="2174"/>
    <n v="658"/>
    <n v="15"/>
    <n v="13044"/>
    <n v="2832.0011499540019"/>
    <n v="2847"/>
    <n v="12206"/>
    <n v="137"/>
    <s v="#PepsiCoRefresh"/>
    <m/>
    <m/>
    <m/>
    <m/>
    <s v="NewYearRefresh"/>
    <x v="0"/>
    <x v="0"/>
    <x v="0"/>
    <x v="0"/>
  </r>
  <r>
    <s v="P265"/>
    <s v="Twitter"/>
    <s v="2025-02-20"/>
    <s v="Carousel"/>
    <s v="Check out our latest carousel on twitter!"/>
    <n v="1877"/>
    <n v="745"/>
    <n v="225"/>
    <n v="11262"/>
    <n v="2622.0199786893982"/>
    <n v="2847"/>
    <n v="10967"/>
    <n v="41"/>
    <s v="#ThirstyForMore"/>
    <m/>
    <m/>
    <m/>
    <m/>
    <s v="DailyWellness"/>
    <x v="0"/>
    <x v="0"/>
    <x v="0"/>
    <x v="0"/>
  </r>
  <r>
    <s v="P098"/>
    <s v="Twitter"/>
    <s v="2024-06-10"/>
    <s v="Story"/>
    <s v="Check out our latest story on twitter!"/>
    <n v="1575"/>
    <n v="771"/>
    <n v="486"/>
    <n v="25200"/>
    <n v="2346.0192857142856"/>
    <n v="2832"/>
    <n v="24826"/>
    <n v="17"/>
    <s v="#LiveForNow"/>
    <m/>
    <m/>
    <m/>
    <m/>
    <s v="DailyWellness"/>
    <x v="0"/>
    <x v="0"/>
    <x v="0"/>
    <x v="0"/>
  </r>
  <r>
    <s v="P059"/>
    <s v="Instagram"/>
    <s v="2024-06-22"/>
    <s v="Text"/>
    <s v="Check out our latest text on instagram!"/>
    <n v="2180"/>
    <n v="263"/>
    <n v="387"/>
    <n v="30520"/>
    <n v="2443.0126802096984"/>
    <n v="2830"/>
    <n v="30059"/>
    <n v="174"/>
    <s v="#ThirstyForMore"/>
    <m/>
    <m/>
    <m/>
    <m/>
    <m/>
    <x v="1"/>
    <x v="0"/>
    <x v="0"/>
    <x v="0"/>
  </r>
  <r>
    <s v="P222"/>
    <s v="Facebook"/>
    <s v="2024-10-08"/>
    <s v="Reel"/>
    <s v="Check out our latest reel on facebook!"/>
    <n v="1814"/>
    <n v="653"/>
    <n v="363"/>
    <n v="25396"/>
    <n v="2467.0142935895415"/>
    <n v="2830"/>
    <n v="25286"/>
    <n v="39"/>
    <s v="#LiveForNow"/>
    <s v="#SmoothLikeNitroPepsi"/>
    <m/>
    <m/>
    <m/>
    <s v="SummerSplash"/>
    <x v="0"/>
    <x v="0"/>
    <x v="1"/>
    <x v="0"/>
  </r>
  <r>
    <s v="P218"/>
    <s v="Facebook"/>
    <s v="2024-06-11"/>
    <s v="Carousel"/>
    <s v="Check out our latest carousel on facebook!"/>
    <n v="1869"/>
    <n v="453"/>
    <n v="490"/>
    <n v="14952"/>
    <n v="2322.0327715355807"/>
    <n v="2812"/>
    <n v="14309"/>
    <n v="275"/>
    <s v="#PepsiCoRefresh"/>
    <m/>
    <m/>
    <m/>
    <m/>
    <s v="DailyWellness"/>
    <x v="0"/>
    <x v="0"/>
    <x v="0"/>
    <x v="0"/>
  </r>
  <r>
    <s v="P233"/>
    <s v="Facebook"/>
    <s v="2025-03-08"/>
    <s v="Image"/>
    <s v="Check out our latest image on facebook!"/>
    <n v="2382"/>
    <n v="265"/>
    <n v="134"/>
    <n v="38112"/>
    <n v="2647.0035159529807"/>
    <n v="2781"/>
    <n v="37437"/>
    <n v="249"/>
    <s v="#LiveForNow"/>
    <m/>
    <m/>
    <m/>
    <m/>
    <s v="DailyWellness"/>
    <x v="0"/>
    <x v="1"/>
    <x v="0"/>
    <x v="0"/>
  </r>
  <r>
    <s v="P159"/>
    <s v="Facebook"/>
    <s v="2024-11-25"/>
    <s v="Story"/>
    <s v="Check out our latest story on facebook!"/>
    <n v="2120"/>
    <n v="158"/>
    <n v="488"/>
    <n v="12720"/>
    <n v="2278.0383647798744"/>
    <n v="2766"/>
    <n v="12085"/>
    <n v="17"/>
    <s v="#LiveForNow"/>
    <m/>
    <m/>
    <m/>
    <m/>
    <s v="FestiveRadiance"/>
    <x v="0"/>
    <x v="0"/>
    <x v="0"/>
    <x v="0"/>
  </r>
  <r>
    <s v="P142"/>
    <s v="YouTube"/>
    <s v="2025-03-25"/>
    <s v="Story"/>
    <s v="Check out our latest story on youtube!"/>
    <n v="2070"/>
    <n v="275"/>
    <n v="386"/>
    <n v="39330"/>
    <n v="2345.00981439105"/>
    <n v="2731"/>
    <n v="38627"/>
    <n v="114"/>
    <s v="#LiveForNow"/>
    <m/>
    <m/>
    <m/>
    <m/>
    <s v="DailyWellness"/>
    <x v="0"/>
    <x v="1"/>
    <x v="0"/>
    <x v="0"/>
  </r>
  <r>
    <s v="P048"/>
    <s v="Twitter"/>
    <s v="2025-03-11"/>
    <s v="Story"/>
    <s v="Check out our latest story on twitter!"/>
    <n v="1950"/>
    <n v="295"/>
    <n v="478"/>
    <n v="37050"/>
    <n v="2245.0129014844806"/>
    <n v="2723"/>
    <n v="36272"/>
    <n v="119"/>
    <s v="#PepsiCoRefresh"/>
    <m/>
    <m/>
    <m/>
    <m/>
    <m/>
    <x v="0"/>
    <x v="1"/>
    <x v="0"/>
    <x v="0"/>
  </r>
  <r>
    <s v="P029"/>
    <s v="Instagram"/>
    <s v="2025-01-31"/>
    <s v="Carousel"/>
    <s v="Check out our latest carousel on instagram!"/>
    <n v="2566"/>
    <n v="118"/>
    <n v="37"/>
    <n v="12830"/>
    <n v="2684.0028838659391"/>
    <n v="2721"/>
    <n v="12264"/>
    <n v="221"/>
    <s v="#LiveForNow"/>
    <m/>
    <m/>
    <m/>
    <m/>
    <s v="NewYearRefresh"/>
    <x v="0"/>
    <x v="0"/>
    <x v="0"/>
    <x v="0"/>
  </r>
  <r>
    <s v="P087"/>
    <s v="Twitter"/>
    <s v="2024-06-06"/>
    <s v="Video"/>
    <s v="Check out our latest video on twitter!"/>
    <n v="1436"/>
    <n v="765"/>
    <n v="496"/>
    <n v="12924"/>
    <n v="2201.0383782110803"/>
    <n v="2697"/>
    <n v="12701"/>
    <n v="197"/>
    <s v="#LiveForNow"/>
    <m/>
    <m/>
    <m/>
    <m/>
    <s v="NewYearRefresh"/>
    <x v="0"/>
    <x v="0"/>
    <x v="0"/>
    <x v="0"/>
  </r>
  <r>
    <s v="P042"/>
    <s v="YouTube"/>
    <s v="2025-03-05"/>
    <s v="Reel"/>
    <s v="Check out our latest reel on youtube!"/>
    <n v="1543"/>
    <n v="820"/>
    <n v="333"/>
    <n v="12344"/>
    <n v="2363.026976668827"/>
    <n v="2696"/>
    <n v="11496"/>
    <n v="241"/>
    <s v="#ThirstyForMore"/>
    <m/>
    <m/>
    <m/>
    <m/>
    <m/>
    <x v="0"/>
    <x v="1"/>
    <x v="0"/>
    <x v="0"/>
  </r>
  <r>
    <s v="P133"/>
    <s v="Facebook"/>
    <s v="2025-02-06"/>
    <s v="Image"/>
    <s v="Check out our latest image on facebook!"/>
    <n v="2072"/>
    <n v="532"/>
    <n v="71"/>
    <n v="37296"/>
    <n v="2604.0019036894037"/>
    <n v="2675"/>
    <n v="36467"/>
    <n v="25"/>
    <s v="#PepsiCoRefresh"/>
    <m/>
    <m/>
    <m/>
    <m/>
    <s v="DailyWellness"/>
    <x v="0"/>
    <x v="0"/>
    <x v="0"/>
    <x v="0"/>
  </r>
  <r>
    <s v="P075"/>
    <s v="Instagram"/>
    <s v="2024-08-01"/>
    <s v="Reel"/>
    <s v="Check out our latest reel on instagram!"/>
    <n v="1674"/>
    <n v="929"/>
    <n v="37"/>
    <n v="21762"/>
    <n v="2603.0017002113777"/>
    <n v="2640"/>
    <n v="20998"/>
    <n v="255"/>
    <s v="#PepsiCoRefresh"/>
    <m/>
    <m/>
    <m/>
    <m/>
    <s v="DailyWellness"/>
    <x v="0"/>
    <x v="0"/>
    <x v="0"/>
    <x v="0"/>
  </r>
  <r>
    <s v="P297"/>
    <s v="Twitter"/>
    <s v="2024-12-24"/>
    <s v="Text"/>
    <s v="Check out our latest text on twitter!"/>
    <n v="2166"/>
    <n v="354"/>
    <n v="117"/>
    <n v="10830"/>
    <n v="2520.0108033240999"/>
    <n v="2637"/>
    <n v="10245"/>
    <n v="24"/>
    <s v="#ThirstyForMore"/>
    <m/>
    <m/>
    <m/>
    <m/>
    <s v="DailyWellness"/>
    <x v="0"/>
    <x v="0"/>
    <x v="0"/>
    <x v="0"/>
  </r>
  <r>
    <s v="P115"/>
    <s v="Twitter"/>
    <s v="2025-05-11"/>
    <s v="Image"/>
    <s v="Check out our latest image on twitter!"/>
    <n v="2493"/>
    <n v="97"/>
    <n v="44"/>
    <n v="42381"/>
    <n v="2590.0010382010805"/>
    <n v="2634"/>
    <n v="41991"/>
    <n v="242"/>
    <s v="#PepsiCoRefresh"/>
    <s v="#AnytimeIsPepsiTime"/>
    <m/>
    <m/>
    <m/>
    <s v="DailyWellness"/>
    <x v="0"/>
    <x v="0"/>
    <x v="0"/>
    <x v="0"/>
  </r>
  <r>
    <s v="P252"/>
    <s v="Facebook"/>
    <s v="2025-04-28"/>
    <s v="Carousel"/>
    <s v="Check out our latest carousel on facebook!"/>
    <n v="2089"/>
    <n v="476"/>
    <n v="69"/>
    <n v="16712"/>
    <n v="2565.0041287697463"/>
    <n v="2634"/>
    <n v="16309"/>
    <n v="64"/>
    <s v="#LiveForNow"/>
    <m/>
    <m/>
    <m/>
    <m/>
    <s v="NewYearRefresh"/>
    <x v="0"/>
    <x v="0"/>
    <x v="0"/>
    <x v="0"/>
  </r>
  <r>
    <s v="P149"/>
    <s v="Twitter"/>
    <s v="2024-06-16"/>
    <s v="Video"/>
    <s v="Check out our latest video on twitter!"/>
    <n v="1702"/>
    <n v="750"/>
    <n v="179"/>
    <n v="34040"/>
    <n v="2452.0052585193889"/>
    <n v="2631"/>
    <n v="33174"/>
    <n v="76"/>
    <s v="#ThirstyForMore"/>
    <m/>
    <m/>
    <m/>
    <m/>
    <s v="SummerSplash"/>
    <x v="1"/>
    <x v="0"/>
    <x v="0"/>
    <x v="0"/>
  </r>
  <r>
    <s v="P155"/>
    <s v="YouTube"/>
    <s v="2024-12-21"/>
    <s v="Image"/>
    <s v="Check out our latest image on youtube!"/>
    <n v="2283"/>
    <n v="210"/>
    <n v="130"/>
    <n v="22830"/>
    <n v="2493.0056942619362"/>
    <n v="2623"/>
    <n v="22617"/>
    <n v="143"/>
    <s v="#LiveForNow"/>
    <m/>
    <m/>
    <m/>
    <m/>
    <s v="FestiveRadiance"/>
    <x v="0"/>
    <x v="0"/>
    <x v="0"/>
    <x v="0"/>
  </r>
  <r>
    <s v="P089"/>
    <s v="Twitter"/>
    <s v="2025-01-10"/>
    <s v="Image"/>
    <s v="Check out our latest image on twitter!"/>
    <n v="2214"/>
    <n v="249"/>
    <n v="152"/>
    <n v="15498"/>
    <n v="2463.0098077171247"/>
    <n v="2615"/>
    <n v="14800"/>
    <n v="180"/>
    <s v="#ThirstyForMore"/>
    <m/>
    <m/>
    <m/>
    <m/>
    <m/>
    <x v="0"/>
    <x v="0"/>
    <x v="0"/>
    <x v="1"/>
  </r>
  <r>
    <s v="P032"/>
    <s v="Twitter"/>
    <s v="2024-07-31"/>
    <s v="Carousel"/>
    <s v="Check out our latest carousel on twitter!"/>
    <n v="2278"/>
    <n v="10"/>
    <n v="321"/>
    <n v="13668"/>
    <n v="2288.0234855136086"/>
    <n v="2609"/>
    <n v="12676"/>
    <n v="275"/>
    <s v="#ThirstyForMore"/>
    <m/>
    <m/>
    <m/>
    <m/>
    <s v="SummerSplash"/>
    <x v="0"/>
    <x v="0"/>
    <x v="0"/>
    <x v="0"/>
  </r>
  <r>
    <s v="P158"/>
    <s v="Instagram"/>
    <s v="2024-08-11"/>
    <s v="Story"/>
    <s v="Check out our latest story on instagram!"/>
    <n v="1762"/>
    <n v="405"/>
    <n v="423"/>
    <n v="22906"/>
    <n v="2167.0184667772637"/>
    <n v="2590"/>
    <n v="21925"/>
    <n v="25"/>
    <s v="#PepsiCoRefresh"/>
    <m/>
    <m/>
    <m/>
    <m/>
    <s v="SummerSplash"/>
    <x v="0"/>
    <x v="0"/>
    <x v="0"/>
    <x v="0"/>
  </r>
  <r>
    <s v="P295"/>
    <s v="Twitter"/>
    <s v="2025-05-06"/>
    <s v="Image"/>
    <s v="Check out our latest image on twitter!"/>
    <n v="1952"/>
    <n v="344"/>
    <n v="287"/>
    <n v="15616"/>
    <n v="2296.0183785860654"/>
    <n v="2583"/>
    <n v="15403"/>
    <n v="235"/>
    <s v="#LiveForNow"/>
    <s v="#PepsiCoRefresh"/>
    <s v="#AnytimeIsPepsiTime"/>
    <m/>
    <m/>
    <s v="FestiveRadiance"/>
    <x v="0"/>
    <x v="0"/>
    <x v="0"/>
    <x v="0"/>
  </r>
  <r>
    <s v="P251"/>
    <s v="Instagram"/>
    <s v="2025-03-27"/>
    <s v="Carousel"/>
    <s v="Check out our latest carousel on instagram!"/>
    <n v="1377"/>
    <n v="796"/>
    <n v="387"/>
    <n v="22032"/>
    <n v="2173.017565359477"/>
    <n v="2560"/>
    <n v="21869"/>
    <n v="189"/>
    <s v="#LiveForNow"/>
    <m/>
    <m/>
    <m/>
    <m/>
    <m/>
    <x v="0"/>
    <x v="1"/>
    <x v="0"/>
    <x v="0"/>
  </r>
  <r>
    <s v="P196"/>
    <s v="Instagram"/>
    <s v="2024-12-19"/>
    <s v="Text"/>
    <s v="Check out our latest text on instagram!"/>
    <n v="1813"/>
    <n v="623"/>
    <n v="72"/>
    <n v="19943"/>
    <n v="2436.0036102893246"/>
    <n v="2508"/>
    <n v="18959"/>
    <n v="85"/>
    <s v="#ThirstyForMore"/>
    <m/>
    <m/>
    <m/>
    <m/>
    <s v="NewYearRefresh"/>
    <x v="0"/>
    <x v="0"/>
    <x v="0"/>
    <x v="0"/>
  </r>
  <r>
    <s v="P065"/>
    <s v="Instagram"/>
    <s v="2025-03-28"/>
    <s v="Story"/>
    <s v="Check out our latest story on instagram!"/>
    <n v="1881"/>
    <n v="501"/>
    <n v="99"/>
    <n v="20691"/>
    <n v="2382.0047846889952"/>
    <n v="2481"/>
    <n v="19987"/>
    <n v="289"/>
    <s v="#ThirstyForMore"/>
    <m/>
    <m/>
    <m/>
    <m/>
    <m/>
    <x v="0"/>
    <x v="1"/>
    <x v="0"/>
    <x v="0"/>
  </r>
  <r>
    <s v="P023"/>
    <s v="Facebook"/>
    <s v="2024-11-06"/>
    <s v="Video"/>
    <s v="Check out our latest video on facebook!"/>
    <n v="1606"/>
    <n v="547"/>
    <n v="316"/>
    <n v="32120"/>
    <n v="2153.0098381070984"/>
    <n v="2469"/>
    <n v="31736"/>
    <n v="225"/>
    <s v="#PepsiCoRefresh"/>
    <s v="#AnytimeIsPepsiTime"/>
    <m/>
    <m/>
    <m/>
    <s v="FestiveRadiance"/>
    <x v="0"/>
    <x v="0"/>
    <x v="0"/>
    <x v="0"/>
  </r>
  <r>
    <s v="P117"/>
    <s v="Twitter"/>
    <s v="2024-11-04"/>
    <s v="Image"/>
    <s v="Check out our latest image on twitter!"/>
    <n v="1606"/>
    <n v="451"/>
    <n v="405"/>
    <n v="20878"/>
    <n v="2057.0193984098096"/>
    <n v="2462"/>
    <n v="20190"/>
    <n v="219"/>
    <s v="#ThirstyForMore"/>
    <m/>
    <m/>
    <m/>
    <m/>
    <s v="DailyWellness"/>
    <x v="0"/>
    <x v="0"/>
    <x v="0"/>
    <x v="0"/>
  </r>
  <r>
    <s v="P202"/>
    <s v="Facebook"/>
    <s v="2024-06-02"/>
    <s v="Image"/>
    <s v="Check out our latest image on facebook!"/>
    <n v="1871"/>
    <n v="252"/>
    <n v="335"/>
    <n v="29936"/>
    <n v="2123.0111905398185"/>
    <n v="2458"/>
    <n v="29576"/>
    <n v="288"/>
    <s v="#ThirstyForMore"/>
    <m/>
    <m/>
    <m/>
    <m/>
    <s v="NewYearRefresh"/>
    <x v="0"/>
    <x v="0"/>
    <x v="0"/>
    <x v="0"/>
  </r>
  <r>
    <s v="P069"/>
    <s v="Twitter"/>
    <s v="2025-03-08"/>
    <s v="Text"/>
    <s v="Check out our latest text on twitter!"/>
    <n v="1292"/>
    <n v="626"/>
    <n v="496"/>
    <n v="25840"/>
    <n v="1918.0191950464396"/>
    <n v="2414"/>
    <n v="24916"/>
    <n v="149"/>
    <s v="#LiveForNow"/>
    <m/>
    <m/>
    <m/>
    <m/>
    <s v="NewYearRefresh"/>
    <x v="0"/>
    <x v="1"/>
    <x v="0"/>
    <x v="0"/>
  </r>
  <r>
    <s v="P093"/>
    <s v="Instagram"/>
    <s v="2024-12-11"/>
    <s v="Video"/>
    <s v="Check out our latest video on instagram!"/>
    <n v="1431"/>
    <n v="951"/>
    <n v="26"/>
    <n v="8586"/>
    <n v="2382.0030281854183"/>
    <n v="2408"/>
    <n v="8396"/>
    <n v="150"/>
    <s v="#ThirstyForMore"/>
    <m/>
    <m/>
    <m/>
    <m/>
    <s v="NewYearRefresh"/>
    <x v="0"/>
    <x v="0"/>
    <x v="0"/>
    <x v="0"/>
  </r>
  <r>
    <s v="P027"/>
    <s v="YouTube"/>
    <s v="2024-09-17"/>
    <s v="Text"/>
    <s v="Check out our latest text on youtube!"/>
    <n v="2076"/>
    <n v="195"/>
    <n v="104"/>
    <n v="33216"/>
    <n v="2271.0031310211948"/>
    <n v="2375"/>
    <n v="32244"/>
    <n v="51"/>
    <s v="#LiveForNow"/>
    <m/>
    <m/>
    <m/>
    <m/>
    <s v="DailyWellness"/>
    <x v="0"/>
    <x v="0"/>
    <x v="0"/>
    <x v="0"/>
  </r>
  <r>
    <s v="P211"/>
    <s v="Twitter"/>
    <s v="2024-07-18"/>
    <s v="Carousel"/>
    <s v="Check out our latest carousel on twitter!"/>
    <n v="2120"/>
    <n v="38"/>
    <n v="212"/>
    <n v="12720"/>
    <n v="2158.0166666666669"/>
    <n v="2370"/>
    <n v="12564"/>
    <n v="21"/>
    <s v="#LiveForNow"/>
    <m/>
    <m/>
    <m/>
    <m/>
    <s v="DailyWellness"/>
    <x v="0"/>
    <x v="0"/>
    <x v="0"/>
    <x v="0"/>
  </r>
  <r>
    <s v="P256"/>
    <s v="YouTube"/>
    <s v="2024-09-18"/>
    <s v="Carousel"/>
    <s v="Check out our latest carousel on youtube!"/>
    <n v="2143"/>
    <n v="12"/>
    <n v="204"/>
    <n v="40717"/>
    <n v="2155.005010192303"/>
    <n v="2359"/>
    <n v="40125"/>
    <n v="248"/>
    <s v="#ThirstyForMore"/>
    <m/>
    <m/>
    <m/>
    <m/>
    <s v="FestiveRadiance"/>
    <x v="0"/>
    <x v="0"/>
    <x v="0"/>
    <x v="0"/>
  </r>
  <r>
    <s v="P187"/>
    <s v="Twitter"/>
    <s v="2024-12-22"/>
    <s v="Reel"/>
    <s v="Check out our latest reel on twitter!"/>
    <n v="1644"/>
    <n v="546"/>
    <n v="150"/>
    <n v="27948"/>
    <n v="2190.0053671103478"/>
    <n v="2340"/>
    <n v="27184"/>
    <n v="300"/>
    <s v="#ThirstyForMore"/>
    <m/>
    <m/>
    <m/>
    <m/>
    <s v="NewYearRefresh"/>
    <x v="0"/>
    <x v="0"/>
    <x v="0"/>
    <x v="0"/>
  </r>
  <r>
    <s v="P173"/>
    <s v="Twitter"/>
    <s v="2024-12-05"/>
    <s v="Video"/>
    <s v="Check out our latest video on twitter!"/>
    <n v="1330"/>
    <n v="925"/>
    <n v="35"/>
    <n v="15960"/>
    <n v="2255.0021929824561"/>
    <n v="2290"/>
    <n v="15379"/>
    <n v="229"/>
    <s v="#LiveForNow"/>
    <m/>
    <m/>
    <m/>
    <m/>
    <s v="NewYearRefresh"/>
    <x v="0"/>
    <x v="0"/>
    <x v="0"/>
    <x v="0"/>
  </r>
  <r>
    <s v="P100"/>
    <s v="YouTube"/>
    <s v="2025-02-10"/>
    <s v="Video"/>
    <s v="Check out our latest video on youtube!"/>
    <n v="1766"/>
    <n v="92"/>
    <n v="424"/>
    <n v="24724"/>
    <n v="1858.0171493285877"/>
    <n v="2282"/>
    <n v="24333"/>
    <n v="52"/>
    <s v="#ThirstyForMore"/>
    <m/>
    <m/>
    <m/>
    <m/>
    <m/>
    <x v="0"/>
    <x v="0"/>
    <x v="0"/>
    <x v="0"/>
  </r>
  <r>
    <s v="P074"/>
    <s v="YouTube"/>
    <s v="2024-10-28"/>
    <s v="Reel"/>
    <s v="Check out our latest reel on youtube!"/>
    <n v="1855"/>
    <n v="200"/>
    <n v="174"/>
    <n v="16695"/>
    <n v="2055.0104222821205"/>
    <n v="2229"/>
    <n v="16330"/>
    <n v="123"/>
    <s v="#PepsiCoRefresh"/>
    <m/>
    <m/>
    <m/>
    <m/>
    <s v="NewYearRefresh"/>
    <x v="0"/>
    <x v="0"/>
    <x v="1"/>
    <x v="0"/>
  </r>
  <r>
    <s v="P226"/>
    <s v="Instagram"/>
    <s v="2024-08-07"/>
    <s v="Carousel"/>
    <s v="Check out our latest carousel on instagram!"/>
    <n v="1741"/>
    <n v="164"/>
    <n v="318"/>
    <n v="8705"/>
    <n v="1905.0365307294658"/>
    <n v="2223"/>
    <n v="8272"/>
    <n v="121"/>
    <s v="#PepsiCoRefresh"/>
    <m/>
    <m/>
    <m/>
    <m/>
    <m/>
    <x v="0"/>
    <x v="0"/>
    <x v="0"/>
    <x v="0"/>
  </r>
  <r>
    <s v="P154"/>
    <s v="Instagram"/>
    <s v="2024-10-09"/>
    <s v="Carousel"/>
    <s v="Check out our latest carousel on instagram!"/>
    <n v="985"/>
    <n v="932"/>
    <n v="287"/>
    <n v="6895"/>
    <n v="1917.0416243654822"/>
    <n v="2204"/>
    <n v="6757"/>
    <n v="64"/>
    <s v="#LiveForNow"/>
    <m/>
    <m/>
    <m/>
    <m/>
    <s v="DailyWellness"/>
    <x v="0"/>
    <x v="0"/>
    <x v="1"/>
    <x v="0"/>
  </r>
  <r>
    <s v="P190"/>
    <s v="YouTube"/>
    <s v="2024-10-04"/>
    <s v="Text"/>
    <s v="Check out our latest text on youtube!"/>
    <n v="1963"/>
    <n v="213"/>
    <n v="19"/>
    <n v="39260"/>
    <n v="2176.000483953133"/>
    <n v="2195"/>
    <n v="38771"/>
    <n v="145"/>
    <s v="#LiveForNow"/>
    <m/>
    <m/>
    <m/>
    <m/>
    <m/>
    <x v="0"/>
    <x v="0"/>
    <x v="1"/>
    <x v="0"/>
  </r>
  <r>
    <s v="P033"/>
    <s v="Facebook"/>
    <s v="2024-08-21"/>
    <s v="Image"/>
    <s v="Check out our latest image on facebook!"/>
    <n v="1407"/>
    <n v="400"/>
    <n v="351"/>
    <n v="16884"/>
    <n v="1807.02078891258"/>
    <n v="2158"/>
    <n v="15954"/>
    <n v="113"/>
    <s v="#PepsiCoRefresh"/>
    <m/>
    <m/>
    <m/>
    <m/>
    <s v="SummerSplash"/>
    <x v="0"/>
    <x v="0"/>
    <x v="0"/>
    <x v="0"/>
  </r>
  <r>
    <s v="P102"/>
    <s v="Twitter"/>
    <s v="2024-09-18"/>
    <s v="Reel"/>
    <s v="Check out our latest reel on twitter!"/>
    <n v="1000"/>
    <n v="978"/>
    <n v="162"/>
    <n v="6000"/>
    <n v="1978.027"/>
    <n v="2140"/>
    <n v="5221"/>
    <n v="223"/>
    <s v="#ThirstyForMore"/>
    <m/>
    <m/>
    <m/>
    <m/>
    <s v="FestiveRadiance"/>
    <x v="0"/>
    <x v="0"/>
    <x v="0"/>
    <x v="0"/>
  </r>
  <r>
    <s v="P145"/>
    <s v="Instagram"/>
    <s v="2024-08-12"/>
    <s v="Carousel"/>
    <s v="Check out our latest carousel on instagram!"/>
    <n v="1878"/>
    <n v="62"/>
    <n v="179"/>
    <n v="37560"/>
    <n v="1940.0047657082002"/>
    <n v="2119"/>
    <n v="36874"/>
    <n v="142"/>
    <s v="#PepsiCoRefresh"/>
    <m/>
    <m/>
    <m/>
    <m/>
    <s v="DailyWellness"/>
    <x v="0"/>
    <x v="0"/>
    <x v="0"/>
    <x v="0"/>
  </r>
  <r>
    <s v="P287"/>
    <s v="Instagram"/>
    <s v="2024-08-15"/>
    <s v="Reel"/>
    <s v="Check out our latest reel on instagram!"/>
    <n v="1164"/>
    <n v="616"/>
    <n v="324"/>
    <n v="6984"/>
    <n v="1780.0463917525774"/>
    <n v="2104"/>
    <n v="6636"/>
    <n v="82"/>
    <s v="#ThirstyForMore"/>
    <m/>
    <m/>
    <m/>
    <m/>
    <s v="SummerSplash"/>
    <x v="0"/>
    <x v="0"/>
    <x v="0"/>
    <x v="0"/>
  </r>
  <r>
    <s v="P034"/>
    <s v="Facebook"/>
    <s v="2025-03-26"/>
    <s v="Text"/>
    <s v="Check out our latest text on facebook!"/>
    <n v="1652"/>
    <n v="89"/>
    <n v="357"/>
    <n v="29736"/>
    <n v="1741.0120056497176"/>
    <n v="2098"/>
    <n v="28771"/>
    <n v="215"/>
    <s v="#PepsiCoRefresh"/>
    <m/>
    <m/>
    <m/>
    <m/>
    <s v="NewYearRefresh"/>
    <x v="0"/>
    <x v="1"/>
    <x v="0"/>
    <x v="0"/>
  </r>
  <r>
    <s v="P282"/>
    <s v="Instagram"/>
    <s v="2024-10-03"/>
    <s v="Video"/>
    <s v="Check out our latest video on instagram!"/>
    <n v="1488"/>
    <n v="417"/>
    <n v="168"/>
    <n v="19344"/>
    <n v="1905.0086848635235"/>
    <n v="2073"/>
    <n v="18395"/>
    <n v="30"/>
    <s v="#LiveForNow"/>
    <m/>
    <m/>
    <m/>
    <m/>
    <s v="NewYearRefresh"/>
    <x v="0"/>
    <x v="0"/>
    <x v="1"/>
    <x v="0"/>
  </r>
  <r>
    <s v="P096"/>
    <s v="Twitter"/>
    <s v="2024-09-10"/>
    <s v="Image"/>
    <s v="Check out our latest image on twitter!"/>
    <n v="1238"/>
    <n v="366"/>
    <n v="444"/>
    <n v="19808"/>
    <n v="1604.0224151857835"/>
    <n v="2048"/>
    <n v="19334"/>
    <n v="123"/>
    <s v="#LiveForNow"/>
    <m/>
    <m/>
    <m/>
    <m/>
    <m/>
    <x v="0"/>
    <x v="0"/>
    <x v="0"/>
    <x v="0"/>
  </r>
  <r>
    <s v="P192"/>
    <s v="Instagram"/>
    <s v="2024-11-29"/>
    <s v="Video"/>
    <s v="Check out our latest video on instagram!"/>
    <n v="1176"/>
    <n v="464"/>
    <n v="394"/>
    <n v="14112"/>
    <n v="1640.0279195011337"/>
    <n v="2034"/>
    <n v="13588"/>
    <n v="272"/>
    <s v="#ThirstyForMore"/>
    <m/>
    <m/>
    <m/>
    <m/>
    <m/>
    <x v="0"/>
    <x v="0"/>
    <x v="0"/>
    <x v="0"/>
  </r>
  <r>
    <s v="P022"/>
    <s v="Facebook"/>
    <s v="2025-02-27"/>
    <s v="Text"/>
    <s v="Check out our latest text on facebook!"/>
    <n v="1570"/>
    <n v="187"/>
    <n v="260"/>
    <n v="25120"/>
    <n v="1757.0103503184714"/>
    <n v="2017"/>
    <n v="24613"/>
    <n v="133"/>
    <s v="#PepsiCoRefresh"/>
    <m/>
    <m/>
    <m/>
    <m/>
    <s v="DailyWellness"/>
    <x v="0"/>
    <x v="0"/>
    <x v="0"/>
    <x v="0"/>
  </r>
  <r>
    <s v="P091"/>
    <s v="Facebook"/>
    <s v="2025-03-24"/>
    <s v="Image"/>
    <s v="Check out our latest image on facebook!"/>
    <n v="1263"/>
    <n v="397"/>
    <n v="357"/>
    <n v="25260"/>
    <n v="1660.0141330166271"/>
    <n v="2017"/>
    <n v="24615"/>
    <n v="137"/>
    <s v="#ThirstyForMore"/>
    <m/>
    <m/>
    <m/>
    <m/>
    <s v="DailyWellness"/>
    <x v="0"/>
    <x v="1"/>
    <x v="0"/>
    <x v="0"/>
  </r>
  <r>
    <s v="P120"/>
    <s v="Facebook"/>
    <s v="2024-10-21"/>
    <s v="Story"/>
    <s v="Check out our latest story on facebook!"/>
    <n v="780"/>
    <n v="928"/>
    <n v="301"/>
    <n v="8580"/>
    <n v="1708.0350815850816"/>
    <n v="2009"/>
    <n v="8081"/>
    <n v="91"/>
    <s v="#ThirstyForMore"/>
    <m/>
    <m/>
    <m/>
    <m/>
    <s v="NewYearRefresh"/>
    <x v="0"/>
    <x v="0"/>
    <x v="1"/>
    <x v="0"/>
  </r>
  <r>
    <s v="P001"/>
    <s v="Twitter"/>
    <s v="2024-12-23"/>
    <s v="Reel"/>
    <s v="Check out our latest reel on twitter!"/>
    <n v="1461"/>
    <n v="184"/>
    <n v="344"/>
    <n v="21915"/>
    <n v="1645.0156970111796"/>
    <n v="1989"/>
    <n v="21675"/>
    <n v="15"/>
    <s v="#LiveForNow"/>
    <s v="#AnytimeIsPepsiTime"/>
    <m/>
    <m/>
    <m/>
    <s v="SummerSplash"/>
    <x v="0"/>
    <x v="0"/>
    <x v="0"/>
    <x v="0"/>
  </r>
  <r>
    <s v="P060"/>
    <s v="Instagram"/>
    <s v="2025-01-28"/>
    <s v="Video"/>
    <s v="Check out our latest video on instagram!"/>
    <n v="904"/>
    <n v="973"/>
    <n v="63"/>
    <n v="11752"/>
    <n v="1877.0053607896527"/>
    <n v="1940"/>
    <n v="11580"/>
    <n v="84"/>
    <s v="#ThirstyForMore"/>
    <s v="#PepsiCoRefresh"/>
    <s v="#AnytimeIsPepsiTime"/>
    <m/>
    <m/>
    <s v="NewYearRefresh"/>
    <x v="0"/>
    <x v="0"/>
    <x v="0"/>
    <x v="0"/>
  </r>
  <r>
    <s v="P081"/>
    <s v="Instagram"/>
    <s v="2024-10-19"/>
    <s v="Story"/>
    <s v="Check out our latest story on instagram!"/>
    <n v="1816"/>
    <n v="29"/>
    <n v="41"/>
    <n v="19976"/>
    <n v="1845.0020524629556"/>
    <n v="1886"/>
    <n v="19262"/>
    <n v="283"/>
    <s v="#PepsiCoRefresh"/>
    <m/>
    <m/>
    <m/>
    <m/>
    <s v="NewYearRefresh"/>
    <x v="0"/>
    <x v="0"/>
    <x v="1"/>
    <x v="0"/>
  </r>
  <r>
    <s v="P276"/>
    <s v="Twitter"/>
    <s v="2024-06-07"/>
    <s v="Carousel"/>
    <s v="Check out our latest carousel on twitter!"/>
    <n v="1556"/>
    <n v="195"/>
    <n v="131"/>
    <n v="9336"/>
    <n v="1751.0140317052271"/>
    <n v="1882"/>
    <n v="8875"/>
    <n v="137"/>
    <s v="#PepsiCoRefresh"/>
    <m/>
    <m/>
    <m/>
    <m/>
    <s v="FestiveRadiance"/>
    <x v="0"/>
    <x v="0"/>
    <x v="0"/>
    <x v="0"/>
  </r>
  <r>
    <s v="P198"/>
    <s v="Twitter"/>
    <s v="2024-09-14"/>
    <s v="Image"/>
    <s v="Check out our latest image on twitter!"/>
    <n v="1048"/>
    <n v="374"/>
    <n v="450"/>
    <n v="9432"/>
    <n v="1422.0477099236641"/>
    <n v="1872"/>
    <n v="8882"/>
    <n v="158"/>
    <s v="#PepsiCoRefresh"/>
    <m/>
    <m/>
    <m/>
    <m/>
    <s v="NewYearRefresh"/>
    <x v="0"/>
    <x v="0"/>
    <x v="0"/>
    <x v="0"/>
  </r>
  <r>
    <s v="P181"/>
    <s v="YouTube"/>
    <s v="2025-03-21"/>
    <s v="Image"/>
    <s v="Check out our latest image on youtube!"/>
    <n v="606"/>
    <n v="789"/>
    <n v="470"/>
    <n v="7878"/>
    <n v="1395.0596598121351"/>
    <n v="1865"/>
    <n v="7389"/>
    <n v="239"/>
    <s v="#ThirstyForMore"/>
    <m/>
    <m/>
    <m/>
    <m/>
    <s v="NewYearRefresh"/>
    <x v="0"/>
    <x v="1"/>
    <x v="0"/>
    <x v="0"/>
  </r>
  <r>
    <s v="P231"/>
    <s v="Instagram"/>
    <s v="2025-05-01"/>
    <s v="Text"/>
    <s v="Check out our latest text on instagram!"/>
    <n v="1430"/>
    <n v="376"/>
    <n v="33"/>
    <n v="21450"/>
    <n v="1806.0015384615385"/>
    <n v="1839"/>
    <n v="20509"/>
    <n v="251"/>
    <s v="#LiveForNow"/>
    <m/>
    <m/>
    <m/>
    <m/>
    <s v="SummerSplash"/>
    <x v="0"/>
    <x v="0"/>
    <x v="0"/>
    <x v="0"/>
  </r>
  <r>
    <s v="P234"/>
    <s v="Facebook"/>
    <s v="2024-06-01"/>
    <s v="Text"/>
    <s v="Check out our latest text on facebook!"/>
    <n v="1272"/>
    <n v="465"/>
    <n v="99"/>
    <n v="24168"/>
    <n v="1737.00409632572"/>
    <n v="1836"/>
    <n v="23719"/>
    <n v="42"/>
    <s v="#PepsiCoRefresh"/>
    <m/>
    <m/>
    <m/>
    <m/>
    <m/>
    <x v="0"/>
    <x v="0"/>
    <x v="0"/>
    <x v="0"/>
  </r>
  <r>
    <s v="P219"/>
    <s v="Twitter"/>
    <s v="2025-01-28"/>
    <s v="Reel"/>
    <s v="Check out our latest reel on twitter!"/>
    <n v="1188"/>
    <n v="470"/>
    <n v="174"/>
    <n v="7128"/>
    <n v="1658.0244107744109"/>
    <n v="1832"/>
    <n v="6145"/>
    <n v="270"/>
    <s v="#PepsiCoRefresh"/>
    <m/>
    <m/>
    <m/>
    <m/>
    <s v="DailyWellness"/>
    <x v="0"/>
    <x v="0"/>
    <x v="0"/>
    <x v="0"/>
  </r>
  <r>
    <s v="P171"/>
    <s v="YouTube"/>
    <s v="2024-12-31"/>
    <s v="Video"/>
    <s v="Check out our latest video on youtube!"/>
    <n v="1018"/>
    <n v="447"/>
    <n v="332"/>
    <n v="18324"/>
    <n v="1465.0181183147783"/>
    <n v="1797"/>
    <n v="18164"/>
    <n v="38"/>
    <s v="#LiveForNow"/>
    <m/>
    <m/>
    <m/>
    <m/>
    <s v="FestiveRadiance"/>
    <x v="0"/>
    <x v="0"/>
    <x v="0"/>
    <x v="1"/>
  </r>
  <r>
    <s v="P077"/>
    <s v="Facebook"/>
    <s v="2025-03-04"/>
    <s v="Story"/>
    <s v="Check out our latest story on facebook!"/>
    <n v="1249"/>
    <n v="116"/>
    <n v="420"/>
    <n v="8743"/>
    <n v="1365.0480384307446"/>
    <n v="1785"/>
    <n v="8538"/>
    <n v="63"/>
    <s v="#PepsiCoRefresh"/>
    <m/>
    <m/>
    <m/>
    <m/>
    <m/>
    <x v="0"/>
    <x v="1"/>
    <x v="0"/>
    <x v="0"/>
  </r>
  <r>
    <s v="P160"/>
    <s v="Twitter"/>
    <s v="2024-08-24"/>
    <s v="Video"/>
    <s v="Check out our latest video on twitter!"/>
    <n v="1082"/>
    <n v="209"/>
    <n v="484"/>
    <n v="19476"/>
    <n v="1291.0248510987883"/>
    <n v="1775"/>
    <n v="18654"/>
    <n v="20"/>
    <s v="#PepsiCoRefresh"/>
    <m/>
    <m/>
    <m/>
    <m/>
    <m/>
    <x v="0"/>
    <x v="0"/>
    <x v="0"/>
    <x v="0"/>
  </r>
  <r>
    <s v="P216"/>
    <s v="YouTube"/>
    <s v="2024-07-29"/>
    <s v="Story"/>
    <s v="Check out our latest story on youtube!"/>
    <n v="1509"/>
    <n v="88"/>
    <n v="163"/>
    <n v="30180"/>
    <n v="1597.0054009277667"/>
    <n v="1760"/>
    <n v="29689"/>
    <n v="119"/>
    <s v="#ThirstyForMore"/>
    <m/>
    <m/>
    <m/>
    <m/>
    <s v="FestiveRadiance"/>
    <x v="0"/>
    <x v="0"/>
    <x v="0"/>
    <x v="0"/>
  </r>
  <r>
    <s v="P124"/>
    <s v="YouTube"/>
    <s v="2025-04-06"/>
    <s v="Carousel"/>
    <s v="Check out our latest carousel on youtube!"/>
    <n v="736"/>
    <n v="771"/>
    <n v="225"/>
    <n v="5152"/>
    <n v="1507.0436723602484"/>
    <n v="1732"/>
    <n v="4706"/>
    <n v="19"/>
    <s v="#ThirstyForMore"/>
    <m/>
    <m/>
    <m/>
    <m/>
    <s v="SummerSplash"/>
    <x v="0"/>
    <x v="0"/>
    <x v="0"/>
    <x v="0"/>
  </r>
  <r>
    <s v="P166"/>
    <s v="Twitter"/>
    <s v="2025-02-16"/>
    <s v="Reel"/>
    <s v="Check out our latest reel on twitter!"/>
    <n v="1076"/>
    <n v="313"/>
    <n v="306"/>
    <n v="11836"/>
    <n v="1389.0258533288272"/>
    <n v="1695"/>
    <n v="11596"/>
    <n v="104"/>
    <s v="#LiveForNow"/>
    <m/>
    <m/>
    <m/>
    <m/>
    <s v="SummerSplash"/>
    <x v="0"/>
    <x v="0"/>
    <x v="0"/>
    <x v="0"/>
  </r>
  <r>
    <s v="P013"/>
    <s v="YouTube"/>
    <s v="2024-11-18"/>
    <s v="Carousel"/>
    <s v="Check out our latest carousel on youtube!"/>
    <n v="1171"/>
    <n v="286"/>
    <n v="231"/>
    <n v="22249"/>
    <n v="1457.0103824891007"/>
    <n v="1688"/>
    <n v="21282"/>
    <n v="114"/>
    <s v="#ThirstyForMore"/>
    <m/>
    <m/>
    <m/>
    <m/>
    <s v="SummerSplash"/>
    <x v="0"/>
    <x v="0"/>
    <x v="0"/>
    <x v="0"/>
  </r>
  <r>
    <s v="P052"/>
    <s v="Facebook"/>
    <s v="2025-01-03"/>
    <s v="Image"/>
    <s v="Check out our latest image on facebook!"/>
    <n v="947"/>
    <n v="338"/>
    <n v="350"/>
    <n v="10417"/>
    <n v="1285.0335989248345"/>
    <n v="1635"/>
    <n v="9730"/>
    <n v="34"/>
    <s v="#PepsiCoRefresh"/>
    <m/>
    <m/>
    <m/>
    <m/>
    <s v="DailyWellness"/>
    <x v="0"/>
    <x v="0"/>
    <x v="0"/>
    <x v="1"/>
  </r>
  <r>
    <s v="P236"/>
    <s v="Facebook"/>
    <s v="2024-08-19"/>
    <s v="Text"/>
    <s v="Check out our latest text on facebook!"/>
    <n v="1257"/>
    <n v="19"/>
    <n v="351"/>
    <n v="12570"/>
    <n v="1276.0279236276849"/>
    <n v="1627"/>
    <n v="11660"/>
    <n v="194"/>
    <s v="#LiveForNow"/>
    <s v="#AnytimeIsPepsiTime"/>
    <s v="#ThirstyForMore"/>
    <m/>
    <m/>
    <s v="FestiveRadiance"/>
    <x v="0"/>
    <x v="0"/>
    <x v="0"/>
    <x v="0"/>
  </r>
  <r>
    <s v="P195"/>
    <s v="Instagram"/>
    <s v="2024-08-15"/>
    <s v="Carousel"/>
    <s v="Check out our latest carousel on instagram!"/>
    <n v="914"/>
    <n v="464"/>
    <n v="246"/>
    <n v="11882"/>
    <n v="1378.020703585255"/>
    <n v="1624"/>
    <n v="11500"/>
    <n v="282"/>
    <s v="#LiveForNow"/>
    <s v="#PepsiCoRefresh"/>
    <s v="#AnytimeIsPepsiTime"/>
    <m/>
    <m/>
    <s v="DailyWellness"/>
    <x v="0"/>
    <x v="0"/>
    <x v="0"/>
    <x v="0"/>
  </r>
  <r>
    <s v="P210"/>
    <s v="YouTube"/>
    <s v="2025-02-19"/>
    <s v="Image"/>
    <s v="Check out our latest image on youtube!"/>
    <n v="257"/>
    <n v="966"/>
    <n v="398"/>
    <n v="3341"/>
    <n v="1223.1191260101766"/>
    <n v="1621"/>
    <n v="2753"/>
    <n v="287"/>
    <s v="#LiveForNow"/>
    <m/>
    <m/>
    <m/>
    <m/>
    <s v="SummerSplash"/>
    <x v="0"/>
    <x v="0"/>
    <x v="0"/>
    <x v="0"/>
  </r>
  <r>
    <s v="P019"/>
    <s v="Instagram"/>
    <s v="2024-06-23"/>
    <s v="Video"/>
    <s v="Check out our latest video on instagram!"/>
    <n v="1071"/>
    <n v="519"/>
    <n v="22"/>
    <n v="16065"/>
    <n v="1590.0013694366635"/>
    <n v="1612"/>
    <n v="15865"/>
    <n v="103"/>
    <s v="#PepsiCoRefresh"/>
    <m/>
    <m/>
    <m/>
    <m/>
    <s v="DailyWellness"/>
    <x v="1"/>
    <x v="0"/>
    <x v="0"/>
    <x v="0"/>
  </r>
  <r>
    <s v="P121"/>
    <s v="Instagram"/>
    <s v="2024-07-29"/>
    <s v="Story"/>
    <s v="Check out our latest story on instagram!"/>
    <n v="498"/>
    <n v="701"/>
    <n v="412"/>
    <n v="4980"/>
    <n v="1199.0827309236947"/>
    <n v="1611"/>
    <n v="4185"/>
    <n v="185"/>
    <s v="#LiveForNow"/>
    <m/>
    <m/>
    <m/>
    <m/>
    <m/>
    <x v="0"/>
    <x v="0"/>
    <x v="0"/>
    <x v="0"/>
  </r>
  <r>
    <s v="P083"/>
    <s v="YouTube"/>
    <s v="2024-10-15"/>
    <s v="Video"/>
    <s v="Check out our latest video on youtube!"/>
    <n v="1094"/>
    <n v="472"/>
    <n v="21"/>
    <n v="9846"/>
    <n v="1566.0021328458258"/>
    <n v="1587"/>
    <n v="9609"/>
    <n v="112"/>
    <s v="#ThirstyForMore"/>
    <m/>
    <m/>
    <m/>
    <m/>
    <m/>
    <x v="0"/>
    <x v="0"/>
    <x v="1"/>
    <x v="0"/>
  </r>
  <r>
    <s v="P214"/>
    <s v="Instagram"/>
    <s v="2024-12-23"/>
    <s v="Image"/>
    <s v="Check out our latest image on instagram!"/>
    <n v="521"/>
    <n v="746"/>
    <n v="315"/>
    <n v="4168"/>
    <n v="1267.0755758157391"/>
    <n v="1582"/>
    <n v="3399"/>
    <n v="282"/>
    <s v="#LiveForNow"/>
    <m/>
    <m/>
    <m/>
    <m/>
    <s v="FestiveRadiance"/>
    <x v="0"/>
    <x v="0"/>
    <x v="0"/>
    <x v="0"/>
  </r>
  <r>
    <s v="P078"/>
    <s v="Twitter"/>
    <s v="2024-06-17"/>
    <s v="Image"/>
    <s v="Check out our latest image on twitter!"/>
    <n v="954"/>
    <n v="324"/>
    <n v="288"/>
    <n v="19080"/>
    <n v="1278.0150943396227"/>
    <n v="1566"/>
    <n v="18859"/>
    <n v="21"/>
    <s v="#LiveForNow"/>
    <m/>
    <m/>
    <m/>
    <m/>
    <s v="DailyWellness"/>
    <x v="1"/>
    <x v="0"/>
    <x v="0"/>
    <x v="0"/>
  </r>
  <r>
    <s v="P292"/>
    <s v="Facebook"/>
    <s v="2024-11-17"/>
    <s v="Text"/>
    <s v="Check out our latest text on facebook!"/>
    <n v="880"/>
    <n v="297"/>
    <n v="345"/>
    <n v="12320"/>
    <n v="1177.0280032467533"/>
    <n v="1522"/>
    <n v="11978"/>
    <n v="238"/>
    <s v="#PepsiCoRefresh"/>
    <s v="#AnytimeIsPepsiTime"/>
    <m/>
    <m/>
    <m/>
    <m/>
    <x v="0"/>
    <x v="0"/>
    <x v="0"/>
    <x v="0"/>
  </r>
  <r>
    <s v="P206"/>
    <s v="Twitter"/>
    <s v="2024-06-24"/>
    <s v="Text"/>
    <s v="Check out our latest text on twitter!"/>
    <n v="941"/>
    <n v="121"/>
    <n v="458"/>
    <n v="14115"/>
    <n v="1062.0324477506199"/>
    <n v="1520"/>
    <n v="13838"/>
    <n v="87"/>
    <s v="#ThirstyForMore"/>
    <m/>
    <m/>
    <m/>
    <m/>
    <s v="SummerSplash"/>
    <x v="1"/>
    <x v="0"/>
    <x v="0"/>
    <x v="0"/>
  </r>
  <r>
    <s v="P246"/>
    <s v="Facebook"/>
    <s v="2024-10-11"/>
    <s v="Image"/>
    <s v="Check out our latest image on facebook!"/>
    <n v="400"/>
    <n v="680"/>
    <n v="434"/>
    <n v="6400"/>
    <n v="1080.0678124999999"/>
    <n v="1514"/>
    <n v="5472"/>
    <n v="160"/>
    <s v="#LiveForNow"/>
    <m/>
    <m/>
    <m/>
    <m/>
    <s v="FestiveRadiance"/>
    <x v="0"/>
    <x v="0"/>
    <x v="1"/>
    <x v="0"/>
  </r>
  <r>
    <s v="P041"/>
    <s v="Instagram"/>
    <s v="2025-03-08"/>
    <s v="Reel"/>
    <s v="Check out our latest reel on instagram!"/>
    <n v="456"/>
    <n v="629"/>
    <n v="428"/>
    <n v="8208"/>
    <n v="1085.0521442495126"/>
    <n v="1513"/>
    <n v="7377"/>
    <n v="205"/>
    <s v="#LiveForNow"/>
    <m/>
    <m/>
    <m/>
    <m/>
    <s v="DailyWellness"/>
    <x v="0"/>
    <x v="1"/>
    <x v="0"/>
    <x v="0"/>
  </r>
  <r>
    <s v="P046"/>
    <s v="Twitter"/>
    <s v="2025-05-02"/>
    <s v="Video"/>
    <s v="Check out our latest video on twitter!"/>
    <n v="1108"/>
    <n v="177"/>
    <n v="212"/>
    <n v="8864"/>
    <n v="1285.023916967509"/>
    <n v="1497"/>
    <n v="8710"/>
    <n v="97"/>
    <s v="#PepsiCoRefresh"/>
    <m/>
    <m/>
    <m/>
    <m/>
    <s v="DailyWellness"/>
    <x v="0"/>
    <x v="0"/>
    <x v="0"/>
    <x v="0"/>
  </r>
  <r>
    <s v="P053"/>
    <s v="YouTube"/>
    <s v="2025-02-24"/>
    <s v="Carousel"/>
    <s v="Check out our latest carousel on youtube!"/>
    <n v="804"/>
    <n v="639"/>
    <n v="43"/>
    <n v="4020"/>
    <n v="1443.010696517413"/>
    <n v="1486"/>
    <n v="3144"/>
    <n v="11"/>
    <s v="#ThirstyForMore"/>
    <s v="#BetterWithPepsi"/>
    <m/>
    <m/>
    <m/>
    <m/>
    <x v="0"/>
    <x v="0"/>
    <x v="0"/>
    <x v="0"/>
  </r>
  <r>
    <s v="P262"/>
    <s v="YouTube"/>
    <s v="2025-01-18"/>
    <s v="Image"/>
    <s v="Check out our latest image on youtube!"/>
    <n v="1206"/>
    <n v="238"/>
    <n v="36"/>
    <n v="9648"/>
    <n v="1444.0037313432836"/>
    <n v="1480"/>
    <n v="9417"/>
    <n v="237"/>
    <s v="#PepsiCoRefresh"/>
    <m/>
    <m/>
    <m/>
    <m/>
    <m/>
    <x v="0"/>
    <x v="0"/>
    <x v="0"/>
    <x v="0"/>
  </r>
  <r>
    <s v="P240"/>
    <s v="Twitter"/>
    <s v="2024-08-26"/>
    <s v="Carousel"/>
    <s v="Check out our latest carousel on twitter!"/>
    <n v="929"/>
    <n v="192"/>
    <n v="322"/>
    <n v="16722"/>
    <n v="1121.0192560698481"/>
    <n v="1443"/>
    <n v="15996"/>
    <n v="145"/>
    <s v="#ThirstyForMore"/>
    <s v="#PepsiCoRefresh"/>
    <s v="#AnytimeIsPepsiTime"/>
    <m/>
    <m/>
    <s v="NewYearRefresh"/>
    <x v="0"/>
    <x v="0"/>
    <x v="0"/>
    <x v="0"/>
  </r>
  <r>
    <s v="P070"/>
    <s v="Facebook"/>
    <s v="2025-04-02"/>
    <s v="Video"/>
    <s v="Check out our latest video on facebook!"/>
    <n v="199"/>
    <n v="772"/>
    <n v="400"/>
    <n v="3582"/>
    <n v="971.11166945840307"/>
    <n v="1371"/>
    <n v="2988"/>
    <n v="43"/>
    <s v="#PepsiCoRefresh"/>
    <m/>
    <m/>
    <m/>
    <m/>
    <m/>
    <x v="0"/>
    <x v="0"/>
    <x v="0"/>
    <x v="0"/>
  </r>
  <r>
    <s v="P055"/>
    <s v="Facebook"/>
    <s v="2024-06-17"/>
    <s v="Image"/>
    <s v="Check out our latest image on facebook!"/>
    <n v="1226"/>
    <n v="119"/>
    <n v="7"/>
    <n v="14712"/>
    <n v="1345.0004758020664"/>
    <n v="1352"/>
    <n v="14049"/>
    <n v="123"/>
    <s v="#ThirstyForMore"/>
    <m/>
    <m/>
    <m/>
    <m/>
    <s v="DailyWellness"/>
    <x v="1"/>
    <x v="0"/>
    <x v="0"/>
    <x v="0"/>
  </r>
  <r>
    <s v="P224"/>
    <s v="Facebook"/>
    <s v="2025-05-13"/>
    <s v="Image"/>
    <s v="Check out our latest image on facebook!"/>
    <n v="602"/>
    <n v="594"/>
    <n v="156"/>
    <n v="4214"/>
    <n v="1196.0370194589464"/>
    <n v="1352"/>
    <n v="3363"/>
    <n v="164"/>
    <s v="#PepsiCoRefresh"/>
    <m/>
    <m/>
    <m/>
    <m/>
    <s v="NewYearRefresh"/>
    <x v="0"/>
    <x v="0"/>
    <x v="0"/>
    <x v="0"/>
  </r>
  <r>
    <s v="P183"/>
    <s v="Instagram"/>
    <s v="2024-12-17"/>
    <s v="Story"/>
    <s v="Check out our latest story on instagram!"/>
    <n v="360"/>
    <n v="590"/>
    <n v="393"/>
    <n v="4680"/>
    <n v="950.08397435897439"/>
    <n v="1343"/>
    <n v="4322"/>
    <n v="208"/>
    <s v="#LiveForNow"/>
    <m/>
    <m/>
    <m/>
    <m/>
    <s v="FestiveRadiance"/>
    <x v="0"/>
    <x v="0"/>
    <x v="0"/>
    <x v="0"/>
  </r>
  <r>
    <s v="P201"/>
    <s v="Twitter"/>
    <s v="2025-01-15"/>
    <s v="Reel"/>
    <s v="Check out our latest reel on twitter!"/>
    <n v="802"/>
    <n v="262"/>
    <n v="244"/>
    <n v="14436"/>
    <n v="1064.0169021889719"/>
    <n v="1308"/>
    <n v="14280"/>
    <n v="49"/>
    <s v="#ThirstyForMore"/>
    <m/>
    <m/>
    <m/>
    <m/>
    <s v="SummerSplash"/>
    <x v="0"/>
    <x v="0"/>
    <x v="0"/>
    <x v="0"/>
  </r>
  <r>
    <s v="P249"/>
    <s v="Twitter"/>
    <s v="2024-07-18"/>
    <s v="Image"/>
    <s v="Check out our latest image on twitter!"/>
    <n v="827"/>
    <n v="77"/>
    <n v="402"/>
    <n v="14886"/>
    <n v="904.02700523982264"/>
    <n v="1306"/>
    <n v="14129"/>
    <n v="254"/>
    <s v="#ThirstyForMore"/>
    <m/>
    <m/>
    <m/>
    <m/>
    <s v="FestiveRadiance"/>
    <x v="0"/>
    <x v="0"/>
    <x v="0"/>
    <x v="0"/>
  </r>
  <r>
    <s v="P076"/>
    <s v="Twitter"/>
    <s v="2024-11-07"/>
    <s v="Story"/>
    <s v="Check out our latest story on twitter!"/>
    <n v="1121"/>
    <n v="135"/>
    <n v="18"/>
    <n v="15694"/>
    <n v="1256.0011469351346"/>
    <n v="1274"/>
    <n v="14957"/>
    <n v="99"/>
    <s v="#PepsiCoRefresh"/>
    <m/>
    <m/>
    <m/>
    <m/>
    <s v="DailyWellness"/>
    <x v="0"/>
    <x v="0"/>
    <x v="0"/>
    <x v="0"/>
  </r>
  <r>
    <s v="P082"/>
    <s v="Instagram"/>
    <s v="2024-07-24"/>
    <s v="Image"/>
    <s v="Check out our latest image on instagram!"/>
    <n v="725"/>
    <n v="88"/>
    <n v="428"/>
    <n v="14500"/>
    <n v="813.02951724137927"/>
    <n v="1241"/>
    <n v="13637"/>
    <n v="200"/>
    <s v="#LiveForNow"/>
    <s v="#PepsiCoRefresh"/>
    <s v="#AnytimeIsPepsiTime"/>
    <m/>
    <m/>
    <s v="NewYearRefresh"/>
    <x v="0"/>
    <x v="0"/>
    <x v="0"/>
    <x v="0"/>
  </r>
  <r>
    <s v="P153"/>
    <s v="Twitter"/>
    <s v="2025-01-01"/>
    <s v="Video"/>
    <s v="Check out our latest video on twitter!"/>
    <n v="754"/>
    <n v="197"/>
    <n v="257"/>
    <n v="6786"/>
    <n v="951.03787208959625"/>
    <n v="1208"/>
    <n v="6221"/>
    <n v="212"/>
    <s v="#PepsiCoRefresh"/>
    <m/>
    <m/>
    <m/>
    <m/>
    <s v="NewYearRefresh"/>
    <x v="0"/>
    <x v="0"/>
    <x v="0"/>
    <x v="1"/>
  </r>
  <r>
    <s v="P028"/>
    <s v="Instagram"/>
    <s v="2025-03-04"/>
    <s v="Video"/>
    <s v="Check out our latest video on instagram!"/>
    <n v="432"/>
    <n v="624"/>
    <n v="123"/>
    <n v="6912"/>
    <n v="1056.0177951388889"/>
    <n v="1179"/>
    <n v="6259"/>
    <n v="79"/>
    <s v="#LiveForNow"/>
    <m/>
    <m/>
    <m/>
    <m/>
    <s v="DailyWellness"/>
    <x v="0"/>
    <x v="1"/>
    <x v="0"/>
    <x v="0"/>
  </r>
  <r>
    <s v="P248"/>
    <s v="Facebook"/>
    <s v="2025-02-02"/>
    <s v="Story"/>
    <s v="Check out our latest story on facebook!"/>
    <n v="886"/>
    <n v="126"/>
    <n v="153"/>
    <n v="4430"/>
    <n v="1012.0345372460497"/>
    <n v="1165"/>
    <n v="4037"/>
    <n v="212"/>
    <s v="#ThirstyForMore"/>
    <m/>
    <m/>
    <m/>
    <m/>
    <m/>
    <x v="0"/>
    <x v="0"/>
    <x v="0"/>
    <x v="0"/>
  </r>
  <r>
    <s v="P284"/>
    <s v="Twitter"/>
    <s v="2024-09-17"/>
    <s v="Text"/>
    <s v="Check out our latest text on twitter!"/>
    <n v="571"/>
    <n v="190"/>
    <n v="352"/>
    <n v="9707"/>
    <n v="761.03626249098591"/>
    <n v="1113"/>
    <n v="9418"/>
    <n v="231"/>
    <s v="#PepsiCoRefresh"/>
    <m/>
    <m/>
    <m/>
    <m/>
    <s v="DailyWellness"/>
    <x v="0"/>
    <x v="0"/>
    <x v="0"/>
    <x v="0"/>
  </r>
  <r>
    <s v="P175"/>
    <s v="Instagram"/>
    <s v="2025-01-17"/>
    <s v="Reel"/>
    <s v="Check out our latest reel on instagram!"/>
    <n v="142"/>
    <n v="784"/>
    <n v="183"/>
    <n v="1704"/>
    <n v="926.10739436619713"/>
    <n v="1109"/>
    <n v="995"/>
    <n v="154"/>
    <s v="#LiveForNow"/>
    <m/>
    <m/>
    <m/>
    <m/>
    <s v="DailyWellness"/>
    <x v="0"/>
    <x v="0"/>
    <x v="0"/>
    <x v="0"/>
  </r>
  <r>
    <s v="P232"/>
    <s v="Twitter"/>
    <s v="2025-04-29"/>
    <s v="Story"/>
    <s v="Check out our latest story on twitter!"/>
    <n v="249"/>
    <n v="592"/>
    <n v="230"/>
    <n v="1494"/>
    <n v="841.15394912985278"/>
    <n v="1071"/>
    <n v="1044"/>
    <n v="201"/>
    <s v="#ThirstyForMore"/>
    <m/>
    <m/>
    <m/>
    <m/>
    <s v="DailyWellness"/>
    <x v="0"/>
    <x v="0"/>
    <x v="0"/>
    <x v="0"/>
  </r>
  <r>
    <s v="P220"/>
    <s v="Instagram"/>
    <s v="2024-06-02"/>
    <s v="Story"/>
    <s v="Check out our latest story on instagram!"/>
    <n v="84"/>
    <n v="897"/>
    <n v="85"/>
    <n v="588"/>
    <n v="981.14455782312928"/>
    <n v="1066"/>
    <n v="8"/>
    <n v="12"/>
    <s v="#ThirstyForMore"/>
    <m/>
    <m/>
    <m/>
    <m/>
    <m/>
    <x v="0"/>
    <x v="0"/>
    <x v="0"/>
    <x v="0"/>
  </r>
  <r>
    <s v="P178"/>
    <s v="Instagram"/>
    <s v="2024-11-07"/>
    <s v="Video"/>
    <s v="Check out our latest video on instagram!"/>
    <n v="129"/>
    <n v="643"/>
    <n v="136"/>
    <n v="1290"/>
    <n v="772.10542635658919"/>
    <n v="908"/>
    <n v="839"/>
    <n v="238"/>
    <s v="#PepsiCoRefresh"/>
    <m/>
    <m/>
    <m/>
    <m/>
    <s v="DailyWellness"/>
    <x v="0"/>
    <x v="0"/>
    <x v="0"/>
    <x v="0"/>
  </r>
  <r>
    <s v="P058"/>
    <s v="Instagram"/>
    <s v="2025-04-15"/>
    <s v="Reel"/>
    <s v="Check out our latest reel on instagram!"/>
    <n v="103"/>
    <n v="770"/>
    <n v="19"/>
    <n v="1030"/>
    <n v="873.01844660194172"/>
    <n v="892"/>
    <n v="410"/>
    <n v="262"/>
    <s v="#PepsiCoRefresh"/>
    <m/>
    <m/>
    <m/>
    <m/>
    <s v="DailyWellness"/>
    <x v="0"/>
    <x v="0"/>
    <x v="0"/>
    <x v="0"/>
  </r>
  <r>
    <s v="P066"/>
    <s v="Twitter"/>
    <s v="2024-07-26"/>
    <s v="Carousel"/>
    <s v="Check out our latest carousel on twitter!"/>
    <n v="432"/>
    <n v="171"/>
    <n v="280"/>
    <n v="3024"/>
    <n v="603.09259259259261"/>
    <n v="883"/>
    <n v="2285"/>
    <n v="184"/>
    <s v="#ThirstyForMore"/>
    <m/>
    <m/>
    <m/>
    <m/>
    <s v="SummerSplash"/>
    <x v="0"/>
    <x v="0"/>
    <x v="0"/>
    <x v="0"/>
  </r>
  <r>
    <s v="P259"/>
    <s v="Facebook"/>
    <s v="2025-02-10"/>
    <s v="Text"/>
    <s v="Check out our latest text on facebook!"/>
    <n v="562"/>
    <n v="158"/>
    <n v="149"/>
    <n v="3372"/>
    <n v="720.04418742586006"/>
    <n v="869"/>
    <n v="2940"/>
    <n v="93"/>
    <s v="#PepsiCoRefresh"/>
    <m/>
    <m/>
    <m/>
    <m/>
    <s v="SummerSplash"/>
    <x v="0"/>
    <x v="0"/>
    <x v="0"/>
    <x v="0"/>
  </r>
  <r>
    <s v="P031"/>
    <s v="Instagram"/>
    <s v="2024-12-16"/>
    <s v="Text"/>
    <s v="Check out our latest text on instagram!"/>
    <n v="438"/>
    <n v="153"/>
    <n v="275"/>
    <n v="3066"/>
    <n v="591.08969341161117"/>
    <n v="866"/>
    <n v="2701"/>
    <n v="282"/>
    <s v="#PepsiCoRefresh"/>
    <m/>
    <m/>
    <m/>
    <m/>
    <s v="FestiveRadiance"/>
    <x v="0"/>
    <x v="0"/>
    <x v="0"/>
    <x v="0"/>
  </r>
  <r>
    <s v="P088"/>
    <s v="Facebook"/>
    <s v="2024-07-07"/>
    <s v="Story"/>
    <s v="Check out our latest story on facebook!"/>
    <n v="302"/>
    <n v="47"/>
    <n v="430"/>
    <n v="5738"/>
    <n v="349.07493900313699"/>
    <n v="779"/>
    <n v="4890"/>
    <n v="25"/>
    <s v="#PepsiCoRefresh"/>
    <m/>
    <m/>
    <m/>
    <m/>
    <s v="DailyWellness"/>
    <x v="1"/>
    <x v="0"/>
    <x v="0"/>
    <x v="0"/>
  </r>
  <r>
    <s v="P138"/>
    <s v="Twitter"/>
    <s v="2025-03-29"/>
    <s v="Image"/>
    <s v="Check out our latest image on twitter!"/>
    <n v="305"/>
    <n v="187"/>
    <n v="243"/>
    <n v="4575"/>
    <n v="492.05311475409837"/>
    <n v="735"/>
    <n v="3704"/>
    <n v="234"/>
    <s v="#LiveForNow"/>
    <m/>
    <m/>
    <m/>
    <m/>
    <s v="NewYearRefresh"/>
    <x v="0"/>
    <x v="1"/>
    <x v="0"/>
    <x v="0"/>
  </r>
  <r>
    <s v="P105"/>
    <s v="Instagram"/>
    <s v="2024-06-14"/>
    <s v="Carousel"/>
    <s v="Check out our latest carousel on instagram!"/>
    <n v="498"/>
    <n v="38"/>
    <n v="42"/>
    <n v="4482"/>
    <n v="536.0093708165997"/>
    <n v="578"/>
    <n v="3647"/>
    <n v="32"/>
    <s v="#LiveForNow"/>
    <m/>
    <m/>
    <m/>
    <m/>
    <s v="SummerSplash"/>
    <x v="0"/>
    <x v="0"/>
    <x v="0"/>
    <x v="0"/>
  </r>
  <r>
    <s v="P227"/>
    <s v="Instagram"/>
    <s v="2024-06-12"/>
    <s v="Text"/>
    <s v="Check out our latest text on instagram!"/>
    <n v="246"/>
    <n v="149"/>
    <n v="130"/>
    <n v="4674"/>
    <n v="395.02781343602908"/>
    <n v="525"/>
    <n v="4390"/>
    <n v="217"/>
    <s v="#LiveForNow"/>
    <m/>
    <m/>
    <m/>
    <m/>
    <s v="NewYearRefresh"/>
    <x v="0"/>
    <x v="0"/>
    <x v="0"/>
    <x v="0"/>
  </r>
  <r>
    <s v="P143"/>
    <s v="YouTube"/>
    <s v="2024-10-02"/>
    <s v="Carousel"/>
    <s v="Check out our latest carousel on youtube!"/>
    <n v="80"/>
    <n v="362"/>
    <n v="80"/>
    <n v="1040"/>
    <n v="442.07692307692309"/>
    <n v="522"/>
    <n v="349"/>
    <n v="117"/>
    <s v="#PepsiCoRefresh"/>
    <m/>
    <m/>
    <m/>
    <m/>
    <s v="NewYearRefresh"/>
    <x v="0"/>
    <x v="0"/>
    <x v="1"/>
    <x v="0"/>
  </r>
  <r>
    <s v="P062"/>
    <s v="Twitter"/>
    <s v="2024-11-22"/>
    <s v="Carousel"/>
    <s v="Check out our latest carousel on twitter!"/>
    <n v="53"/>
    <n v="81"/>
    <n v="379"/>
    <n v="954"/>
    <n v="134.39727463312369"/>
    <n v="513"/>
    <n v="7"/>
    <n v="148"/>
    <s v="#PepsiCoRefresh"/>
    <m/>
    <m/>
    <m/>
    <m/>
    <s v="NewYearRefresh"/>
    <x v="0"/>
    <x v="0"/>
    <x v="0"/>
    <x v="0"/>
  </r>
  <r>
    <s v="P072"/>
    <s v="YouTube"/>
    <s v="2025-03-03"/>
    <s v="Reel"/>
    <s v="Check out our latest reel on youtube!"/>
    <n v="296"/>
    <n v="60"/>
    <n v="141"/>
    <n v="5624"/>
    <n v="356.02507112375531"/>
    <n v="497"/>
    <n v="5239"/>
    <n v="88"/>
    <s v="#ThirstyForMore"/>
    <m/>
    <m/>
    <m/>
    <m/>
    <s v="FestiveRadiance"/>
    <x v="0"/>
    <x v="1"/>
    <x v="0"/>
    <x v="0"/>
  </r>
  <r>
    <s v="P264"/>
    <s v="Twitter"/>
    <s v="2025-01-30"/>
    <s v="Image"/>
    <s v="Check out our latest image on twitter!"/>
    <n v="59"/>
    <n v="163"/>
    <n v="93"/>
    <n v="590"/>
    <n v="222.15762711864406"/>
    <n v="315"/>
    <n v="475"/>
    <n v="293"/>
    <s v="#PepsiCoRefresh"/>
    <m/>
    <m/>
    <m/>
    <m/>
    <s v="FestiveRadiance"/>
    <x v="0"/>
    <x v="0"/>
    <x v="0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2024-06-15"/>
    <s v="2024-07-15"/>
    <s v="Brand Awareness"/>
    <x v="0"/>
    <n v="103773"/>
    <s v="Instagram,Facebook"/>
    <s v="#ThirstyForMore,#PepsiCoRefresh"/>
  </r>
  <r>
    <x v="1"/>
    <s v="2025-03-01"/>
    <s v="2025-03-31"/>
    <s v="Traffic"/>
    <x v="1"/>
    <n v="33044"/>
    <s v="Instagram,Twitter"/>
    <s v="#BetterWithPepsi,#LiveForNow"/>
  </r>
  <r>
    <x v="2"/>
    <s v="2024-10-01"/>
    <s v="2024-10-31"/>
    <s v="Engagement"/>
    <x v="2"/>
    <n v="106020"/>
    <s v="Instagram,YouTube"/>
    <s v="#AnytimeIsPepsiTime,"/>
  </r>
  <r>
    <x v="3"/>
    <s v="2024-12-25"/>
    <s v="2025-01-10"/>
    <s v="Product Launch"/>
    <x v="3"/>
    <n v="137691"/>
    <s v="Facebook,Twitter"/>
    <s v="#SmoothLikeNitroPepsi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6278"/>
  </r>
  <r>
    <x v="1"/>
    <x v="1"/>
    <n v="6130"/>
  </r>
  <r>
    <x v="1"/>
    <x v="2"/>
    <n v="6061"/>
  </r>
  <r>
    <x v="2"/>
    <x v="3"/>
    <n v="6030"/>
  </r>
  <r>
    <x v="1"/>
    <x v="0"/>
    <n v="6029"/>
  </r>
  <r>
    <x v="3"/>
    <x v="3"/>
    <n v="5973"/>
  </r>
  <r>
    <x v="2"/>
    <x v="3"/>
    <n v="5939"/>
  </r>
  <r>
    <x v="0"/>
    <x v="2"/>
    <n v="5913"/>
  </r>
  <r>
    <x v="2"/>
    <x v="1"/>
    <n v="5900"/>
  </r>
  <r>
    <x v="1"/>
    <x v="3"/>
    <n v="587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7"/>
  </r>
  <r>
    <x v="1"/>
    <n v="102"/>
  </r>
  <r>
    <x v="2"/>
    <n v="103"/>
  </r>
  <r>
    <x v="3"/>
    <n v="5"/>
  </r>
  <r>
    <x v="4"/>
    <n v="15"/>
  </r>
  <r>
    <x v="5"/>
    <n v="1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135"/>
    <n v="88"/>
    <n v="344084"/>
    <n v="8.06"/>
    <n v="5904"/>
    <n v="1047"/>
    <n v="0.30428616268120573"/>
    <m/>
    <x v="0"/>
    <n v="0.30428616268120573"/>
  </r>
  <r>
    <x v="1"/>
    <n v="1312"/>
    <n v="310"/>
    <n v="42654"/>
    <n v="4.9800000000000004"/>
    <n v="9566"/>
    <n v="1002"/>
    <n v="2.3491348994232664"/>
    <m/>
    <x v="0"/>
    <n v="2.3491348994232664"/>
  </r>
  <r>
    <x v="2"/>
    <n v="584"/>
    <n v="169"/>
    <n v="146834"/>
    <n v="8.31"/>
    <n v="26752"/>
    <n v="415"/>
    <n v="0.28263208793603661"/>
    <m/>
    <x v="0"/>
    <n v="0.28263208793603661"/>
  </r>
  <r>
    <x v="3"/>
    <n v="1535"/>
    <n v="445"/>
    <n v="395536"/>
    <n v="4.1100000000000003"/>
    <n v="30671"/>
    <n v="1090"/>
    <n v="0.27557542170624166"/>
    <m/>
    <x v="0"/>
    <n v="0.27557542170624166"/>
  </r>
  <r>
    <x v="0"/>
    <n v="656"/>
    <n v="139"/>
    <n v="49157"/>
    <n v="9.0500000000000007"/>
    <n v="9920"/>
    <n v="517"/>
    <n v="1.0517322049758935"/>
    <m/>
    <x v="1"/>
    <n v="1.0517322049758935"/>
  </r>
  <r>
    <x v="1"/>
    <n v="1697"/>
    <n v="414"/>
    <n v="316555"/>
    <n v="2.37"/>
    <n v="7924"/>
    <n v="1283"/>
    <n v="0.40530081660374973"/>
    <m/>
    <x v="1"/>
    <n v="0.40530081660374973"/>
  </r>
  <r>
    <x v="2"/>
    <n v="436"/>
    <n v="250"/>
    <n v="254347"/>
    <n v="4.01"/>
    <n v="8912"/>
    <n v="186"/>
    <n v="7.3128442639386351E-2"/>
    <m/>
    <x v="1"/>
    <n v="7.3128442639386351E-2"/>
  </r>
  <r>
    <x v="3"/>
    <n v="1197"/>
    <n v="203"/>
    <n v="413878"/>
    <n v="3.16"/>
    <n v="21205"/>
    <n v="994"/>
    <n v="0.24016739232334167"/>
    <m/>
    <x v="1"/>
    <n v="0.24016739232334167"/>
  </r>
  <r>
    <x v="0"/>
    <n v="1048"/>
    <n v="155"/>
    <n v="456946"/>
    <n v="2.46"/>
    <n v="11329"/>
    <n v="893"/>
    <n v="0.19542790614208244"/>
    <s v="Summer Splash"/>
    <x v="2"/>
    <n v="0.19542790614208244"/>
  </r>
  <r>
    <x v="1"/>
    <n v="1753"/>
    <n v="371"/>
    <n v="169496"/>
    <n v="8.11"/>
    <n v="46670"/>
    <n v="1382"/>
    <n v="0.8153584745362723"/>
    <s v="Summer Splash"/>
    <x v="2"/>
    <n v="0.8153584745362723"/>
  </r>
  <r>
    <x v="2"/>
    <n v="1335"/>
    <n v="40"/>
    <n v="122732"/>
    <n v="8.19"/>
    <n v="22482"/>
    <n v="1295"/>
    <n v="1.0551445425805821"/>
    <s v="Summer Splash"/>
    <x v="2"/>
    <n v="1.0551445425805821"/>
  </r>
  <r>
    <x v="3"/>
    <n v="403"/>
    <n v="66"/>
    <n v="382851"/>
    <n v="3.49"/>
    <n v="24313"/>
    <n v="337"/>
    <n v="8.8023800381871797E-2"/>
    <s v="Summer Splash"/>
    <x v="2"/>
    <n v="8.8023800381871797E-2"/>
  </r>
  <r>
    <x v="0"/>
    <n v="911"/>
    <n v="282"/>
    <n v="35664"/>
    <n v="6.92"/>
    <n v="18050"/>
    <n v="629"/>
    <n v="1.7636832660385824"/>
    <s v="Summer Splash"/>
    <x v="3"/>
    <n v="1.7636832660385824"/>
  </r>
  <r>
    <x v="1"/>
    <n v="1779"/>
    <n v="109"/>
    <n v="26295"/>
    <n v="9.1199999999999992"/>
    <n v="30635"/>
    <n v="1670"/>
    <n v="6.3510173036698996"/>
    <s v="Summer Splash"/>
    <x v="3"/>
    <n v="6.3510173036698996"/>
  </r>
  <r>
    <x v="2"/>
    <n v="1238"/>
    <n v="403"/>
    <n v="298421"/>
    <n v="3.5"/>
    <n v="31280"/>
    <n v="835"/>
    <n v="0.27980604582117208"/>
    <s v="Summer Splash"/>
    <x v="3"/>
    <n v="0.27980604582117208"/>
  </r>
  <r>
    <x v="3"/>
    <n v="308"/>
    <n v="431"/>
    <n v="426184"/>
    <n v="2.62"/>
    <n v="1783"/>
    <n v="-123"/>
    <n v="-2.8860773750305036E-2"/>
    <s v="Summer Splash"/>
    <x v="3"/>
    <n v="-2.8860773750305036E-2"/>
  </r>
  <r>
    <x v="0"/>
    <n v="226"/>
    <n v="445"/>
    <n v="419447"/>
    <n v="9.36"/>
    <n v="9566"/>
    <n v="-219"/>
    <n v="-5.2211602419375981E-2"/>
    <s v="Summer Splash"/>
    <x v="4"/>
    <n v="-5.2211602419375981E-2"/>
  </r>
  <r>
    <x v="1"/>
    <n v="505"/>
    <n v="441"/>
    <n v="220020"/>
    <n v="4.4800000000000004"/>
    <n v="42307"/>
    <n v="64"/>
    <n v="2.9088264703208796E-2"/>
    <s v="Summer Splash"/>
    <x v="4"/>
    <n v="2.9088264703208796E-2"/>
  </r>
  <r>
    <x v="2"/>
    <n v="1420"/>
    <n v="63"/>
    <n v="315305"/>
    <n v="6.19"/>
    <n v="5914"/>
    <n v="1357"/>
    <n v="0.4303769366169265"/>
    <s v="Summer Splash"/>
    <x v="4"/>
    <n v="0.4303769366169265"/>
  </r>
  <r>
    <x v="3"/>
    <n v="144"/>
    <n v="53"/>
    <n v="113678"/>
    <n v="8.7200000000000006"/>
    <n v="30060"/>
    <n v="91"/>
    <n v="8.0050669434719113E-2"/>
    <s v="Summer Splash"/>
    <x v="4"/>
    <n v="8.0050669434719113E-2"/>
  </r>
  <r>
    <x v="0"/>
    <n v="1757"/>
    <n v="85"/>
    <n v="58223"/>
    <n v="8.74"/>
    <n v="22728"/>
    <n v="1672"/>
    <n v="2.8717173625543171"/>
    <s v="Summer Splash"/>
    <x v="5"/>
    <n v="2.8717173625543171"/>
  </r>
  <r>
    <x v="1"/>
    <n v="350"/>
    <n v="41"/>
    <n v="251694"/>
    <n v="1.91"/>
    <n v="38610"/>
    <n v="309"/>
    <n v="0.12276812319721568"/>
    <s v="Summer Splash"/>
    <x v="5"/>
    <n v="0.12276812319721568"/>
  </r>
  <r>
    <x v="2"/>
    <n v="987"/>
    <n v="440"/>
    <n v="389810"/>
    <n v="4.66"/>
    <n v="2932"/>
    <n v="547"/>
    <n v="0.140324773607655"/>
    <s v="Summer Splash"/>
    <x v="5"/>
    <n v="0.140324773607655"/>
  </r>
  <r>
    <x v="3"/>
    <n v="883"/>
    <n v="369"/>
    <n v="233694"/>
    <n v="2.88"/>
    <n v="15071"/>
    <n v="514"/>
    <n v="0.21994574101175038"/>
    <s v="Summer Splash"/>
    <x v="5"/>
    <n v="0.21994574101175038"/>
  </r>
  <r>
    <x v="0"/>
    <n v="1960"/>
    <n v="115"/>
    <n v="154169"/>
    <n v="3.74"/>
    <n v="10740"/>
    <n v="1845"/>
    <n v="1.1967386439556591"/>
    <s v="Summer Splash"/>
    <x v="6"/>
    <n v="1.1967386439556591"/>
  </r>
  <r>
    <x v="1"/>
    <n v="170"/>
    <n v="334"/>
    <n v="334626"/>
    <n v="6.44"/>
    <n v="43420"/>
    <n v="-164"/>
    <n v="-4.9009939454794309E-2"/>
    <s v="Summer Splash"/>
    <x v="6"/>
    <n v="-4.9009939454794309E-2"/>
  </r>
  <r>
    <x v="2"/>
    <n v="704"/>
    <n v="275"/>
    <n v="226002"/>
    <n v="8.56"/>
    <n v="32393"/>
    <n v="429"/>
    <n v="0.18982132901478749"/>
    <s v="Summer Splash"/>
    <x v="6"/>
    <n v="0.18982132901478749"/>
  </r>
  <r>
    <x v="3"/>
    <n v="224"/>
    <n v="64"/>
    <n v="156683"/>
    <n v="4.5599999999999996"/>
    <n v="28474"/>
    <n v="160"/>
    <n v="0.10211701333265255"/>
    <s v="Summer Splash"/>
    <x v="6"/>
    <n v="0.10211701333265255"/>
  </r>
  <r>
    <x v="0"/>
    <n v="508"/>
    <n v="349"/>
    <n v="473812"/>
    <n v="7.88"/>
    <n v="17328"/>
    <n v="159"/>
    <n v="3.3557613568250697E-2"/>
    <m/>
    <x v="7"/>
    <n v="3.3557613568250697E-2"/>
  </r>
  <r>
    <x v="1"/>
    <n v="1391"/>
    <n v="430"/>
    <n v="295032"/>
    <n v="7.86"/>
    <n v="26067"/>
    <n v="961"/>
    <n v="0.32572737872501967"/>
    <m/>
    <x v="7"/>
    <n v="0.32572737872501967"/>
  </r>
  <r>
    <x v="2"/>
    <n v="1701"/>
    <n v="385"/>
    <n v="198278"/>
    <n v="5.34"/>
    <n v="32763"/>
    <n v="1316"/>
    <n v="0.66371458255580551"/>
    <m/>
    <x v="7"/>
    <n v="0.66371458255580551"/>
  </r>
  <r>
    <x v="3"/>
    <n v="804"/>
    <n v="487"/>
    <n v="306564"/>
    <n v="5.52"/>
    <n v="26452"/>
    <n v="317"/>
    <n v="0.10340418313957282"/>
    <m/>
    <x v="7"/>
    <n v="0.10340418313957282"/>
  </r>
  <r>
    <x v="0"/>
    <n v="653"/>
    <n v="112"/>
    <n v="23664"/>
    <n v="4.05"/>
    <n v="15353"/>
    <n v="541"/>
    <n v="2.2861730899256254"/>
    <m/>
    <x v="8"/>
    <n v="2.2861730899256254"/>
  </r>
  <r>
    <x v="1"/>
    <n v="160"/>
    <n v="478"/>
    <n v="435034"/>
    <n v="7.73"/>
    <n v="4839"/>
    <n v="-318"/>
    <n v="-7.309773488968678E-2"/>
    <m/>
    <x v="8"/>
    <n v="-7.309773488968678E-2"/>
  </r>
  <r>
    <x v="2"/>
    <n v="1756"/>
    <n v="261"/>
    <n v="287574"/>
    <n v="4.3600000000000003"/>
    <n v="39272"/>
    <n v="1495"/>
    <n v="0.51986619096302167"/>
    <m/>
    <x v="8"/>
    <n v="0.51986619096302167"/>
  </r>
  <r>
    <x v="3"/>
    <n v="576"/>
    <n v="101"/>
    <n v="62499"/>
    <n v="3.48"/>
    <n v="16804"/>
    <n v="475"/>
    <n v="0.76001216019456308"/>
    <m/>
    <x v="8"/>
    <n v="0.76001216019456308"/>
  </r>
  <r>
    <x v="0"/>
    <n v="645"/>
    <n v="293"/>
    <n v="437968"/>
    <n v="7.83"/>
    <n v="49303"/>
    <n v="352"/>
    <n v="8.0371168669857163E-2"/>
    <m/>
    <x v="9"/>
    <n v="8.0371168669857163E-2"/>
  </r>
  <r>
    <x v="1"/>
    <n v="214"/>
    <n v="411"/>
    <n v="125034"/>
    <n v="6.11"/>
    <n v="26455"/>
    <n v="-197"/>
    <n v="-0.15755714445670779"/>
    <m/>
    <x v="9"/>
    <n v="-0.15755714445670779"/>
  </r>
  <r>
    <x v="2"/>
    <n v="826"/>
    <n v="498"/>
    <n v="449994"/>
    <n v="9.43"/>
    <n v="12384"/>
    <n v="328"/>
    <n v="7.2889860753698937E-2"/>
    <m/>
    <x v="9"/>
    <n v="7.2889860753698937E-2"/>
  </r>
  <r>
    <x v="3"/>
    <n v="460"/>
    <n v="141"/>
    <n v="320650"/>
    <n v="4.04"/>
    <n v="49372"/>
    <n v="319"/>
    <n v="9.9485420240137221E-2"/>
    <m/>
    <x v="9"/>
    <n v="9.9485420240137221E-2"/>
  </r>
  <r>
    <x v="0"/>
    <n v="1528"/>
    <n v="203"/>
    <n v="489188"/>
    <n v="6.23"/>
    <n v="47101"/>
    <n v="1325"/>
    <n v="0.27085701202809553"/>
    <m/>
    <x v="10"/>
    <n v="0.27085701202809553"/>
  </r>
  <r>
    <x v="1"/>
    <n v="1534"/>
    <n v="200"/>
    <n v="307612"/>
    <n v="6.01"/>
    <n v="37903"/>
    <n v="1334"/>
    <n v="0.43366318609156984"/>
    <m/>
    <x v="10"/>
    <n v="0.43366318609156984"/>
  </r>
  <r>
    <x v="2"/>
    <n v="485"/>
    <n v="448"/>
    <n v="434883"/>
    <n v="8.5500000000000007"/>
    <n v="33258"/>
    <n v="37"/>
    <n v="8.5080354946042956E-3"/>
    <m/>
    <x v="10"/>
    <n v="8.5080354946042956E-3"/>
  </r>
  <r>
    <x v="3"/>
    <n v="1210"/>
    <n v="178"/>
    <n v="102042"/>
    <n v="5.42"/>
    <n v="6915"/>
    <n v="1032"/>
    <n v="1.011348268360087"/>
    <m/>
    <x v="10"/>
    <n v="1.011348268360087"/>
  </r>
  <r>
    <x v="0"/>
    <n v="215"/>
    <n v="139"/>
    <n v="325444"/>
    <n v="3.25"/>
    <n v="35501"/>
    <n v="76"/>
    <n v="2.335271198731579E-2"/>
    <m/>
    <x v="11"/>
    <n v="2.335271198731579E-2"/>
  </r>
  <r>
    <x v="1"/>
    <n v="1078"/>
    <n v="20"/>
    <n v="183924"/>
    <n v="8.84"/>
    <n v="14203"/>
    <n v="1058"/>
    <n v="0.57523759813836151"/>
    <m/>
    <x v="11"/>
    <n v="0.57523759813836151"/>
  </r>
  <r>
    <x v="2"/>
    <n v="1751"/>
    <n v="86"/>
    <n v="188655"/>
    <n v="7.24"/>
    <n v="22206"/>
    <n v="1665"/>
    <n v="0.88256340939810773"/>
    <m/>
    <x v="11"/>
    <n v="0.88256340939810773"/>
  </r>
  <r>
    <x v="3"/>
    <n v="221"/>
    <n v="31"/>
    <n v="87443"/>
    <n v="6.19"/>
    <n v="10283"/>
    <n v="190"/>
    <n v="0.21728440241071326"/>
    <m/>
    <x v="11"/>
    <n v="0.21728440241071326"/>
  </r>
  <r>
    <x v="0"/>
    <n v="1685"/>
    <n v="76"/>
    <n v="453799"/>
    <n v="5.71"/>
    <n v="24913"/>
    <n v="1609"/>
    <n v="0.35456226214689768"/>
    <m/>
    <x v="12"/>
    <n v="0.35456226214689768"/>
  </r>
  <r>
    <x v="1"/>
    <n v="248"/>
    <n v="211"/>
    <n v="379380"/>
    <n v="9.0399999999999991"/>
    <n v="26925"/>
    <n v="37"/>
    <n v="9.7527544941747053E-3"/>
    <m/>
    <x v="12"/>
    <n v="9.7527544941747053E-3"/>
  </r>
  <r>
    <x v="2"/>
    <n v="1300"/>
    <n v="71"/>
    <n v="186454"/>
    <n v="3.91"/>
    <n v="9942"/>
    <n v="1229"/>
    <n v="0.65914381026955704"/>
    <m/>
    <x v="12"/>
    <n v="0.65914381026955704"/>
  </r>
  <r>
    <x v="3"/>
    <n v="422"/>
    <n v="394"/>
    <n v="239044"/>
    <n v="7.83"/>
    <n v="32929"/>
    <n v="28"/>
    <n v="1.1713324743561855E-2"/>
    <m/>
    <x v="12"/>
    <n v="1.1713324743561855E-2"/>
  </r>
  <r>
    <x v="0"/>
    <n v="1429"/>
    <n v="182"/>
    <n v="101332"/>
    <n v="7.16"/>
    <n v="37829"/>
    <n v="1247"/>
    <n v="1.2306082974775983"/>
    <m/>
    <x v="13"/>
    <n v="1.2306082974775983"/>
  </r>
  <r>
    <x v="1"/>
    <n v="1520"/>
    <n v="475"/>
    <n v="496982"/>
    <n v="6.41"/>
    <n v="24384"/>
    <n v="1045"/>
    <n v="0.21026918479944948"/>
    <m/>
    <x v="13"/>
    <n v="0.21026918479944948"/>
  </r>
  <r>
    <x v="2"/>
    <n v="557"/>
    <n v="360"/>
    <n v="318779"/>
    <n v="8.02"/>
    <n v="25797"/>
    <n v="197"/>
    <n v="6.1798299135137513E-2"/>
    <m/>
    <x v="13"/>
    <n v="6.1798299135137513E-2"/>
  </r>
  <r>
    <x v="3"/>
    <n v="728"/>
    <n v="395"/>
    <n v="370971"/>
    <n v="3.86"/>
    <n v="12646"/>
    <n v="333"/>
    <n v="8.9764429025449427E-2"/>
    <m/>
    <x v="13"/>
    <n v="8.9764429025449427E-2"/>
  </r>
  <r>
    <x v="0"/>
    <n v="1592"/>
    <n v="20"/>
    <n v="378054"/>
    <n v="9.09"/>
    <n v="26663"/>
    <n v="1572"/>
    <n v="0.41581361392816901"/>
    <m/>
    <x v="14"/>
    <n v="0.41581361392816901"/>
  </r>
  <r>
    <x v="1"/>
    <n v="1842"/>
    <n v="414"/>
    <n v="307524"/>
    <n v="1.76"/>
    <n v="40478"/>
    <n v="1428"/>
    <n v="0.46435400163889645"/>
    <m/>
    <x v="14"/>
    <n v="0.46435400163889645"/>
  </r>
  <r>
    <x v="2"/>
    <n v="751"/>
    <n v="491"/>
    <n v="434047"/>
    <n v="9.24"/>
    <n v="15476"/>
    <n v="260"/>
    <n v="5.990134708914012E-2"/>
    <m/>
    <x v="14"/>
    <n v="5.990134708914012E-2"/>
  </r>
  <r>
    <x v="3"/>
    <n v="1409"/>
    <n v="309"/>
    <n v="64583"/>
    <n v="8.99"/>
    <n v="10217"/>
    <n v="1100"/>
    <n v="1.703234597339857"/>
    <m/>
    <x v="14"/>
    <n v="1.703234597339857"/>
  </r>
  <r>
    <x v="0"/>
    <n v="778"/>
    <n v="401"/>
    <n v="50793"/>
    <n v="3.4"/>
    <n v="21939"/>
    <n v="377"/>
    <n v="0.74222825979957874"/>
    <m/>
    <x v="15"/>
    <n v="0.74222825979957874"/>
  </r>
  <r>
    <x v="1"/>
    <n v="443"/>
    <n v="345"/>
    <n v="474162"/>
    <n v="9.1999999999999993"/>
    <n v="47462"/>
    <n v="98"/>
    <n v="2.0668041724136478E-2"/>
    <m/>
    <x v="15"/>
    <n v="2.0668041724136478E-2"/>
  </r>
  <r>
    <x v="2"/>
    <n v="1472"/>
    <n v="347"/>
    <n v="392355"/>
    <n v="8.59"/>
    <n v="30270"/>
    <n v="1125"/>
    <n v="0.2867301296020186"/>
    <m/>
    <x v="15"/>
    <n v="0.2867301296020186"/>
  </r>
  <r>
    <x v="3"/>
    <n v="123"/>
    <n v="155"/>
    <n v="119934"/>
    <n v="3.5"/>
    <n v="5442"/>
    <n v="-32"/>
    <n v="-2.6681341404439108E-2"/>
    <m/>
    <x v="15"/>
    <n v="-2.6681341404439108E-2"/>
  </r>
  <r>
    <x v="0"/>
    <n v="817"/>
    <n v="151"/>
    <n v="422625"/>
    <n v="2.36"/>
    <n v="1083"/>
    <n v="666"/>
    <n v="0.15758651286601597"/>
    <m/>
    <x v="16"/>
    <n v="0.15758651286601597"/>
  </r>
  <r>
    <x v="1"/>
    <n v="198"/>
    <n v="217"/>
    <n v="239753"/>
    <n v="7.36"/>
    <n v="11901"/>
    <n v="-19"/>
    <n v="-7.924822629956663E-3"/>
    <m/>
    <x v="16"/>
    <n v="-7.924822629956663E-3"/>
  </r>
  <r>
    <x v="2"/>
    <n v="1911"/>
    <n v="231"/>
    <n v="268516"/>
    <n v="8.5500000000000007"/>
    <n v="24018"/>
    <n v="1680"/>
    <n v="0.62566104068286432"/>
    <m/>
    <x v="16"/>
    <n v="0.62566104068286432"/>
  </r>
  <r>
    <x v="3"/>
    <n v="1218"/>
    <n v="212"/>
    <n v="63177"/>
    <n v="8.1300000000000008"/>
    <n v="38883"/>
    <n v="1006"/>
    <n v="1.592351646960128"/>
    <m/>
    <x v="16"/>
    <n v="1.592351646960128"/>
  </r>
  <r>
    <x v="0"/>
    <n v="1433"/>
    <n v="408"/>
    <n v="370269"/>
    <n v="3.3"/>
    <n v="30575"/>
    <n v="1025"/>
    <n v="0.27682576721248608"/>
    <m/>
    <x v="17"/>
    <n v="0.27682576721248608"/>
  </r>
  <r>
    <x v="1"/>
    <n v="250"/>
    <n v="429"/>
    <n v="453423"/>
    <n v="1.77"/>
    <n v="2315"/>
    <n v="-179"/>
    <n v="-3.9477485703195474E-2"/>
    <m/>
    <x v="17"/>
    <n v="-3.9477485703195474E-2"/>
  </r>
  <r>
    <x v="2"/>
    <n v="752"/>
    <n v="153"/>
    <n v="64906"/>
    <n v="2.09"/>
    <n v="12148"/>
    <n v="599"/>
    <n v="0.92287307798970819"/>
    <m/>
    <x v="17"/>
    <n v="0.92287307798970819"/>
  </r>
  <r>
    <x v="3"/>
    <n v="1918"/>
    <n v="212"/>
    <n v="94360"/>
    <n v="7.36"/>
    <n v="36851"/>
    <n v="1706"/>
    <n v="1.8079694785926241"/>
    <m/>
    <x v="17"/>
    <n v="1.8079694785926241"/>
  </r>
  <r>
    <x v="0"/>
    <n v="1939"/>
    <n v="67"/>
    <n v="187183"/>
    <n v="6.25"/>
    <n v="41215"/>
    <n v="1872"/>
    <n v="1.000090820213374"/>
    <s v="Festive Radience"/>
    <x v="18"/>
    <n v="1.000090820213374"/>
  </r>
  <r>
    <x v="1"/>
    <n v="1929"/>
    <n v="267"/>
    <n v="379363"/>
    <n v="1.75"/>
    <n v="43836"/>
    <n v="1662"/>
    <n v="0.43810281972675247"/>
    <s v="Festive Radience"/>
    <x v="18"/>
    <n v="0.43810281972675247"/>
  </r>
  <r>
    <x v="2"/>
    <n v="437"/>
    <n v="330"/>
    <n v="476486"/>
    <n v="4.97"/>
    <n v="4509"/>
    <n v="107"/>
    <n v="2.2456063766826309E-2"/>
    <s v="Festive Radience"/>
    <x v="18"/>
    <n v="2.2456063766826309E-2"/>
  </r>
  <r>
    <x v="3"/>
    <n v="307"/>
    <n v="189"/>
    <n v="117767"/>
    <n v="9.3000000000000007"/>
    <n v="27822"/>
    <n v="118"/>
    <n v="0.10019784829366461"/>
    <s v="Festive Radience"/>
    <x v="18"/>
    <n v="0.10019784829366461"/>
  </r>
  <r>
    <x v="0"/>
    <n v="1527"/>
    <n v="303"/>
    <n v="388555"/>
    <n v="8.9"/>
    <n v="36397"/>
    <n v="1224"/>
    <n v="0.31501331857780751"/>
    <s v="Festive Radience"/>
    <x v="19"/>
    <n v="0.31501331857780751"/>
  </r>
  <r>
    <x v="1"/>
    <n v="643"/>
    <n v="358"/>
    <n v="157599"/>
    <n v="3.88"/>
    <n v="7285"/>
    <n v="285"/>
    <n v="0.18083871090552606"/>
    <s v="Festive Radience"/>
    <x v="19"/>
    <n v="0.18083871090552606"/>
  </r>
  <r>
    <x v="2"/>
    <n v="201"/>
    <n v="221"/>
    <n v="309772"/>
    <n v="5.9"/>
    <n v="33174"/>
    <n v="-20"/>
    <n v="-6.4563614529395824E-3"/>
    <s v="Festive Radience"/>
    <x v="19"/>
    <n v="-6.4563614529395824E-3"/>
  </r>
  <r>
    <x v="3"/>
    <n v="414"/>
    <n v="47"/>
    <n v="199178"/>
    <n v="1.53"/>
    <n v="6742"/>
    <n v="367"/>
    <n v="0.18425729749269498"/>
    <s v="Festive Radience"/>
    <x v="19"/>
    <n v="0.18425729749269498"/>
  </r>
  <r>
    <x v="0"/>
    <n v="703"/>
    <n v="441"/>
    <n v="357089"/>
    <n v="6.5"/>
    <n v="32478"/>
    <n v="262"/>
    <n v="7.3371064356504964E-2"/>
    <s v="Festive Radience"/>
    <x v="20"/>
    <n v="7.3371064356504964E-2"/>
  </r>
  <r>
    <x v="1"/>
    <n v="508"/>
    <n v="69"/>
    <n v="23492"/>
    <n v="3.16"/>
    <n v="42824"/>
    <n v="439"/>
    <n v="1.8687212668142346"/>
    <s v="Festive Radience"/>
    <x v="20"/>
    <n v="1.8687212668142346"/>
  </r>
  <r>
    <x v="2"/>
    <n v="697"/>
    <n v="61"/>
    <n v="258287"/>
    <n v="8.25"/>
    <n v="21208"/>
    <n v="636"/>
    <n v="0.24623771231227276"/>
    <s v="Festive Radience"/>
    <x v="20"/>
    <n v="0.24623771231227276"/>
  </r>
  <r>
    <x v="3"/>
    <n v="1707"/>
    <n v="223"/>
    <n v="256910"/>
    <n v="5.41"/>
    <n v="44321"/>
    <n v="1484"/>
    <n v="0.57763419096181545"/>
    <s v="Festive Radience"/>
    <x v="20"/>
    <n v="0.57763419096181545"/>
  </r>
  <r>
    <x v="0"/>
    <n v="642"/>
    <n v="66"/>
    <n v="346522"/>
    <n v="5.85"/>
    <n v="13116"/>
    <n v="576"/>
    <n v="0.166223212379012"/>
    <s v="Festive Radience"/>
    <x v="21"/>
    <n v="0.166223212379012"/>
  </r>
  <r>
    <x v="1"/>
    <n v="859"/>
    <n v="473"/>
    <n v="209987"/>
    <n v="4.46"/>
    <n v="30214"/>
    <n v="386"/>
    <n v="0.18382090319876945"/>
    <s v="Festive Radience"/>
    <x v="21"/>
    <n v="0.18382090319876945"/>
  </r>
  <r>
    <x v="2"/>
    <n v="191"/>
    <n v="154"/>
    <n v="240550"/>
    <n v="5.22"/>
    <n v="15827"/>
    <n v="37"/>
    <n v="1.5381417584701726E-2"/>
    <s v="Festive Radience"/>
    <x v="21"/>
    <n v="1.5381417584701726E-2"/>
  </r>
  <r>
    <x v="3"/>
    <n v="1814"/>
    <n v="157"/>
    <n v="305827"/>
    <n v="1.99"/>
    <n v="46643"/>
    <n v="1657"/>
    <n v="0.54180958515762179"/>
    <s v="Festive Radience"/>
    <x v="21"/>
    <n v="0.54180958515762179"/>
  </r>
  <r>
    <x v="0"/>
    <n v="1466"/>
    <n v="69"/>
    <n v="54935"/>
    <n v="6.85"/>
    <n v="36484"/>
    <n v="1397"/>
    <n v="2.5430053699827071"/>
    <m/>
    <x v="22"/>
    <n v="2.5430053699827071"/>
  </r>
  <r>
    <x v="1"/>
    <n v="947"/>
    <n v="407"/>
    <n v="319186"/>
    <n v="3.32"/>
    <n v="4996"/>
    <n v="540"/>
    <n v="0.16918035252172714"/>
    <m/>
    <x v="22"/>
    <n v="0.16918035252172714"/>
  </r>
  <r>
    <x v="2"/>
    <n v="1821"/>
    <n v="218"/>
    <n v="439080"/>
    <n v="5.68"/>
    <n v="36095"/>
    <n v="1603"/>
    <n v="0.36508153411678962"/>
    <m/>
    <x v="22"/>
    <n v="0.36508153411678962"/>
  </r>
  <r>
    <x v="3"/>
    <n v="1507"/>
    <n v="463"/>
    <n v="258944"/>
    <n v="6.08"/>
    <n v="16443"/>
    <n v="1044"/>
    <n v="0.40317597627286211"/>
    <m/>
    <x v="22"/>
    <n v="0.40317597627286211"/>
  </r>
  <r>
    <x v="0"/>
    <n v="1075"/>
    <n v="173"/>
    <n v="51395"/>
    <n v="4.66"/>
    <n v="47812"/>
    <n v="902"/>
    <n v="1.7550345364335054"/>
    <m/>
    <x v="23"/>
    <n v="1.7550345364335054"/>
  </r>
  <r>
    <x v="1"/>
    <n v="171"/>
    <n v="277"/>
    <n v="309483"/>
    <n v="8.6999999999999993"/>
    <n v="38452"/>
    <n v="-106"/>
    <n v="-3.4250669665215859E-2"/>
    <m/>
    <x v="23"/>
    <n v="-3.4250669665215859E-2"/>
  </r>
  <r>
    <x v="2"/>
    <n v="1487"/>
    <n v="337"/>
    <n v="87305"/>
    <n v="2.46"/>
    <n v="30428"/>
    <n v="1150"/>
    <n v="1.3172212358971422"/>
    <m/>
    <x v="23"/>
    <n v="1.3172212358971422"/>
  </r>
  <r>
    <x v="3"/>
    <n v="454"/>
    <n v="105"/>
    <n v="121091"/>
    <n v="7.97"/>
    <n v="9269"/>
    <n v="349"/>
    <n v="0.28821299683708945"/>
    <m/>
    <x v="23"/>
    <n v="0.28821299683708945"/>
  </r>
  <r>
    <x v="0"/>
    <n v="187"/>
    <n v="236"/>
    <n v="51087"/>
    <n v="9.41"/>
    <n v="29533"/>
    <n v="-49"/>
    <n v="-9.5914811987394058E-2"/>
    <m/>
    <x v="24"/>
    <n v="-9.5914811987394058E-2"/>
  </r>
  <r>
    <x v="1"/>
    <n v="513"/>
    <n v="441"/>
    <n v="338847"/>
    <n v="2.68"/>
    <n v="39997"/>
    <n v="72"/>
    <n v="2.124852809675163E-2"/>
    <m/>
    <x v="24"/>
    <n v="2.124852809675163E-2"/>
  </r>
  <r>
    <x v="2"/>
    <n v="628"/>
    <n v="183"/>
    <n v="487523"/>
    <n v="7.32"/>
    <n v="5391"/>
    <n v="445"/>
    <n v="9.1277744844858608E-2"/>
    <m/>
    <x v="24"/>
    <n v="9.1277744844858608E-2"/>
  </r>
  <r>
    <x v="3"/>
    <n v="278"/>
    <n v="218"/>
    <n v="301695"/>
    <n v="4.68"/>
    <n v="22373"/>
    <n v="60"/>
    <n v="1.9887634863023914E-2"/>
    <m/>
    <x v="24"/>
    <n v="1.9887634863023914E-2"/>
  </r>
  <r>
    <x v="0"/>
    <n v="1854"/>
    <n v="161"/>
    <n v="282466"/>
    <n v="5.17"/>
    <n v="1810"/>
    <n v="1693"/>
    <n v="0.59936417126309005"/>
    <m/>
    <x v="25"/>
    <n v="0.59936417126309005"/>
  </r>
  <r>
    <x v="1"/>
    <n v="1710"/>
    <n v="378"/>
    <n v="336661"/>
    <n v="6.2"/>
    <n v="28498"/>
    <n v="1332"/>
    <n v="0.39565022381564841"/>
    <m/>
    <x v="25"/>
    <n v="0.39565022381564841"/>
  </r>
  <r>
    <x v="2"/>
    <n v="330"/>
    <n v="232"/>
    <n v="88455"/>
    <n v="2.69"/>
    <n v="39530"/>
    <n v="98"/>
    <n v="0.11079079758069074"/>
    <m/>
    <x v="25"/>
    <n v="0.11079079758069074"/>
  </r>
  <r>
    <x v="3"/>
    <n v="1293"/>
    <n v="408"/>
    <n v="62535"/>
    <n v="8.9"/>
    <n v="37876"/>
    <n v="885"/>
    <n v="1.4152074838090669"/>
    <m/>
    <x v="25"/>
    <n v="1.4152074838090669"/>
  </r>
  <r>
    <x v="0"/>
    <n v="1696"/>
    <n v="71"/>
    <n v="421957"/>
    <n v="3.79"/>
    <n v="36103"/>
    <n v="1625"/>
    <n v="0.38511033114748661"/>
    <m/>
    <x v="26"/>
    <n v="0.38511033114748661"/>
  </r>
  <r>
    <x v="1"/>
    <n v="1902"/>
    <n v="196"/>
    <n v="470269"/>
    <n v="4.79"/>
    <n v="26103"/>
    <n v="1706"/>
    <n v="0.36277109484146308"/>
    <m/>
    <x v="26"/>
    <n v="0.36277109484146308"/>
  </r>
  <r>
    <x v="2"/>
    <n v="1441"/>
    <n v="268"/>
    <n v="309904"/>
    <n v="6.37"/>
    <n v="3455"/>
    <n v="1173"/>
    <n v="0.37850431101244258"/>
    <m/>
    <x v="26"/>
    <n v="0.37850431101244258"/>
  </r>
  <r>
    <x v="3"/>
    <n v="452"/>
    <n v="161"/>
    <n v="221274"/>
    <n v="2.65"/>
    <n v="40888"/>
    <n v="291"/>
    <n v="0.13151115811166245"/>
    <m/>
    <x v="26"/>
    <n v="0.13151115811166245"/>
  </r>
  <r>
    <x v="0"/>
    <n v="1494"/>
    <n v="375"/>
    <n v="220616"/>
    <n v="1.81"/>
    <n v="22724"/>
    <n v="1119"/>
    <n v="0.5072161583928636"/>
    <m/>
    <x v="27"/>
    <n v="0.5072161583928636"/>
  </r>
  <r>
    <x v="1"/>
    <n v="1514"/>
    <n v="141"/>
    <n v="35842"/>
    <n v="7.47"/>
    <n v="18601"/>
    <n v="1373"/>
    <n v="3.8307014117515763"/>
    <m/>
    <x v="27"/>
    <n v="3.8307014117515763"/>
  </r>
  <r>
    <x v="2"/>
    <n v="1937"/>
    <n v="210"/>
    <n v="20607"/>
    <n v="4.2"/>
    <n v="20861"/>
    <n v="1727"/>
    <n v="8.3806473528412688"/>
    <m/>
    <x v="27"/>
    <n v="8.3806473528412688"/>
  </r>
  <r>
    <x v="3"/>
    <n v="736"/>
    <n v="163"/>
    <n v="451894"/>
    <n v="5.43"/>
    <n v="46625"/>
    <n v="573"/>
    <n v="0.12679964770499277"/>
    <m/>
    <x v="27"/>
    <n v="0.12679964770499277"/>
  </r>
  <r>
    <x v="0"/>
    <n v="1502"/>
    <n v="70"/>
    <n v="465553"/>
    <n v="3.32"/>
    <n v="20692"/>
    <n v="1432"/>
    <n v="0.30759118725472717"/>
    <m/>
    <x v="28"/>
    <n v="0.30759118725472717"/>
  </r>
  <r>
    <x v="1"/>
    <n v="1623"/>
    <n v="246"/>
    <n v="415815"/>
    <n v="8.11"/>
    <n v="18656"/>
    <n v="1377"/>
    <n v="0.33115688467227011"/>
    <m/>
    <x v="28"/>
    <n v="0.33115688467227011"/>
  </r>
  <r>
    <x v="2"/>
    <n v="1592"/>
    <n v="233"/>
    <n v="327183"/>
    <n v="6.66"/>
    <n v="13316"/>
    <n v="1359"/>
    <n v="0.41536387893013998"/>
    <m/>
    <x v="28"/>
    <n v="0.41536387893013998"/>
  </r>
  <r>
    <x v="3"/>
    <n v="1004"/>
    <n v="128"/>
    <n v="488901"/>
    <n v="8.09"/>
    <n v="49558"/>
    <n v="876"/>
    <n v="0.17917737946946316"/>
    <m/>
    <x v="28"/>
    <n v="0.17917737946946316"/>
  </r>
  <r>
    <x v="0"/>
    <n v="1092"/>
    <n v="408"/>
    <n v="280795"/>
    <n v="8.44"/>
    <n v="4683"/>
    <n v="684"/>
    <n v="0.24359408109118752"/>
    <m/>
    <x v="29"/>
    <n v="0.24359408109118752"/>
  </r>
  <r>
    <x v="1"/>
    <n v="1155"/>
    <n v="425"/>
    <n v="93347"/>
    <n v="2.02"/>
    <n v="47502"/>
    <n v="730"/>
    <n v="0.78202834584935776"/>
    <m/>
    <x v="29"/>
    <n v="0.78202834584935776"/>
  </r>
  <r>
    <x v="2"/>
    <n v="1137"/>
    <n v="226"/>
    <n v="81119"/>
    <n v="7.74"/>
    <n v="35359"/>
    <n v="911"/>
    <n v="1.123041457611657"/>
    <m/>
    <x v="29"/>
    <n v="1.123041457611657"/>
  </r>
  <r>
    <x v="3"/>
    <n v="1900"/>
    <n v="311"/>
    <n v="25177"/>
    <n v="2.89"/>
    <n v="14154"/>
    <n v="1589"/>
    <n v="6.3113158835445047"/>
    <m/>
    <x v="29"/>
    <n v="6.3113158835445047"/>
  </r>
  <r>
    <x v="0"/>
    <n v="1814"/>
    <n v="49"/>
    <n v="140804"/>
    <n v="1.76"/>
    <n v="4313"/>
    <n v="1765"/>
    <n v="1.2535155251271271"/>
    <s v="New Year Refresh"/>
    <x v="30"/>
    <n v="1.2535155251271271"/>
  </r>
  <r>
    <x v="1"/>
    <n v="1980"/>
    <n v="204"/>
    <n v="379431"/>
    <n v="3.09"/>
    <n v="25140"/>
    <n v="1776"/>
    <n v="0.46806929323118035"/>
    <s v="New Year Refresh"/>
    <x v="30"/>
    <n v="0.46806929323118035"/>
  </r>
  <r>
    <x v="2"/>
    <n v="1786"/>
    <n v="257"/>
    <n v="274831"/>
    <n v="4.68"/>
    <n v="9118"/>
    <n v="1529"/>
    <n v="0.55634189738421069"/>
    <s v="New Year Refresh"/>
    <x v="30"/>
    <n v="0.55634189738421069"/>
  </r>
  <r>
    <x v="3"/>
    <n v="1495"/>
    <n v="35"/>
    <n v="136845"/>
    <n v="4.4800000000000004"/>
    <n v="39931"/>
    <n v="1460"/>
    <n v="1.0669005078738718"/>
    <s v="New Year Refresh"/>
    <x v="30"/>
    <n v="1.0669005078738718"/>
  </r>
  <r>
    <x v="0"/>
    <n v="1013"/>
    <n v="110"/>
    <n v="466382"/>
    <n v="5.3"/>
    <n v="37132"/>
    <n v="903"/>
    <n v="0.19361810704529764"/>
    <s v="New Year Refresh"/>
    <x v="31"/>
    <n v="0.19361810704529764"/>
  </r>
  <r>
    <x v="1"/>
    <n v="816"/>
    <n v="196"/>
    <n v="95728"/>
    <n v="8.1999999999999993"/>
    <n v="17951"/>
    <n v="620"/>
    <n v="0.64766839378238339"/>
    <s v="New Year Refresh"/>
    <x v="31"/>
    <n v="0.64766839378238339"/>
  </r>
  <r>
    <x v="2"/>
    <n v="1633"/>
    <n v="445"/>
    <n v="371156"/>
    <n v="2.2200000000000002"/>
    <n v="2798"/>
    <n v="1188"/>
    <n v="0.32008104408927779"/>
    <s v="New Year Refresh"/>
    <x v="31"/>
    <n v="0.32008104408927779"/>
  </r>
  <r>
    <x v="3"/>
    <n v="891"/>
    <n v="45"/>
    <n v="95410"/>
    <n v="8.33"/>
    <n v="15045"/>
    <n v="846"/>
    <n v="0.88669950738916259"/>
    <s v="New Year Refresh"/>
    <x v="31"/>
    <n v="0.88669950738916259"/>
  </r>
  <r>
    <x v="0"/>
    <n v="1855"/>
    <n v="133"/>
    <n v="349413"/>
    <n v="3.3"/>
    <n v="14548"/>
    <n v="1722"/>
    <n v="0.49282654051223052"/>
    <m/>
    <x v="32"/>
    <n v="0.49282654051223052"/>
  </r>
  <r>
    <x v="1"/>
    <n v="651"/>
    <n v="353"/>
    <n v="224699"/>
    <n v="5.61"/>
    <n v="45708"/>
    <n v="298"/>
    <n v="0.13262186302564766"/>
    <m/>
    <x v="32"/>
    <n v="0.13262186302564766"/>
  </r>
  <r>
    <x v="2"/>
    <n v="118"/>
    <n v="262"/>
    <n v="487896"/>
    <n v="2.56"/>
    <n v="12350"/>
    <n v="-144"/>
    <n v="-2.9514486693885584E-2"/>
    <m/>
    <x v="32"/>
    <n v="-2.9514486693885584E-2"/>
  </r>
  <r>
    <x v="3"/>
    <n v="1331"/>
    <n v="430"/>
    <n v="14437"/>
    <n v="3.29"/>
    <n v="40868"/>
    <n v="901"/>
    <n v="6.2409087760615085"/>
    <m/>
    <x v="32"/>
    <n v="6.2409087760615085"/>
  </r>
  <r>
    <x v="0"/>
    <n v="1748"/>
    <n v="176"/>
    <n v="383681"/>
    <n v="9.24"/>
    <n v="43122"/>
    <n v="1572"/>
    <n v="0.40971536250166152"/>
    <m/>
    <x v="33"/>
    <n v="0.40971536250166152"/>
  </r>
  <r>
    <x v="1"/>
    <n v="663"/>
    <n v="236"/>
    <n v="479490"/>
    <n v="4.51"/>
    <n v="23853"/>
    <n v="427"/>
    <n v="8.905295209493419E-2"/>
    <m/>
    <x v="33"/>
    <n v="8.905295209493419E-2"/>
  </r>
  <r>
    <x v="2"/>
    <n v="1040"/>
    <n v="149"/>
    <n v="124404"/>
    <n v="5.23"/>
    <n v="45380"/>
    <n v="891"/>
    <n v="0.71621491270377158"/>
    <m/>
    <x v="33"/>
    <n v="0.71621491270377158"/>
  </r>
  <r>
    <x v="3"/>
    <n v="1166"/>
    <n v="442"/>
    <n v="336949"/>
    <n v="4.68"/>
    <n v="7705"/>
    <n v="724"/>
    <n v="0.2148693125665902"/>
    <m/>
    <x v="33"/>
    <n v="0.2148693125665902"/>
  </r>
  <r>
    <x v="0"/>
    <n v="115"/>
    <n v="281"/>
    <n v="357265"/>
    <n v="9.23"/>
    <n v="25525"/>
    <n v="-166"/>
    <n v="-4.6464109274628081E-2"/>
    <m/>
    <x v="34"/>
    <n v="-4.6464109274628081E-2"/>
  </r>
  <r>
    <x v="1"/>
    <n v="1249"/>
    <n v="351"/>
    <n v="321307"/>
    <n v="6.37"/>
    <n v="20560"/>
    <n v="898"/>
    <n v="0.27948348464241363"/>
    <m/>
    <x v="34"/>
    <n v="0.27948348464241363"/>
  </r>
  <r>
    <x v="2"/>
    <n v="1501"/>
    <n v="75"/>
    <n v="262569"/>
    <n v="2.0099999999999998"/>
    <n v="19119"/>
    <n v="1426"/>
    <n v="0.54309533874905258"/>
    <m/>
    <x v="34"/>
    <n v="0.54309533874905258"/>
  </r>
  <r>
    <x v="3"/>
    <n v="1411"/>
    <n v="186"/>
    <n v="461669"/>
    <n v="3.72"/>
    <n v="43999"/>
    <n v="1225"/>
    <n v="0.26534161921203286"/>
    <m/>
    <x v="34"/>
    <n v="0.26534161921203286"/>
  </r>
  <r>
    <x v="0"/>
    <n v="1556"/>
    <n v="476"/>
    <n v="351556"/>
    <n v="3.89"/>
    <n v="10825"/>
    <n v="1080"/>
    <n v="0.30720567989168157"/>
    <m/>
    <x v="35"/>
    <n v="0.30720567989168157"/>
  </r>
  <r>
    <x v="1"/>
    <n v="1159"/>
    <n v="411"/>
    <n v="135987"/>
    <n v="8.6999999999999993"/>
    <n v="40323"/>
    <n v="748"/>
    <n v="0.5500525785553031"/>
    <m/>
    <x v="35"/>
    <n v="0.5500525785553031"/>
  </r>
  <r>
    <x v="2"/>
    <n v="927"/>
    <n v="358"/>
    <n v="177554"/>
    <n v="6.95"/>
    <n v="48270"/>
    <n v="569"/>
    <n v="0.32046588643454949"/>
    <m/>
    <x v="35"/>
    <n v="0.32046588643454949"/>
  </r>
  <r>
    <x v="3"/>
    <n v="152"/>
    <n v="355"/>
    <n v="270766"/>
    <n v="9.48"/>
    <n v="18001"/>
    <n v="-203"/>
    <n v="-7.4972485467156139E-2"/>
    <m/>
    <x v="35"/>
    <n v="-7.4972485467156139E-2"/>
  </r>
  <r>
    <x v="0"/>
    <n v="1957"/>
    <n v="234"/>
    <n v="222126"/>
    <n v="4.6100000000000003"/>
    <n v="3314"/>
    <n v="1723"/>
    <n v="0.77568587198256844"/>
    <m/>
    <x v="36"/>
    <n v="0.77568587198256844"/>
  </r>
  <r>
    <x v="1"/>
    <n v="1294"/>
    <n v="382"/>
    <n v="309914"/>
    <n v="8.0299999999999994"/>
    <n v="23489"/>
    <n v="912"/>
    <n v="0.29427518601934727"/>
    <m/>
    <x v="36"/>
    <n v="0.29427518601934727"/>
  </r>
  <r>
    <x v="2"/>
    <n v="1587"/>
    <n v="385"/>
    <n v="126582"/>
    <n v="6.99"/>
    <n v="42832"/>
    <n v="1202"/>
    <n v="0.94958208908059605"/>
    <m/>
    <x v="36"/>
    <n v="0.94958208908059605"/>
  </r>
  <r>
    <x v="3"/>
    <n v="1707"/>
    <n v="263"/>
    <n v="485280"/>
    <n v="9.0299999999999994"/>
    <n v="24494"/>
    <n v="1444"/>
    <n v="0.29756017144741181"/>
    <m/>
    <x v="36"/>
    <n v="0.29756017144741181"/>
  </r>
  <r>
    <x v="0"/>
    <n v="1138"/>
    <n v="173"/>
    <n v="453243"/>
    <n v="2.86"/>
    <n v="44097"/>
    <n v="965"/>
    <n v="0.21291007252180397"/>
    <m/>
    <x v="37"/>
    <n v="0.21291007252180397"/>
  </r>
  <r>
    <x v="1"/>
    <n v="1895"/>
    <n v="305"/>
    <n v="104967"/>
    <n v="3.85"/>
    <n v="31853"/>
    <n v="1590"/>
    <n v="1.5147617822744293"/>
    <m/>
    <x v="37"/>
    <n v="1.5147617822744293"/>
  </r>
  <r>
    <x v="2"/>
    <n v="362"/>
    <n v="399"/>
    <n v="145608"/>
    <n v="7.3"/>
    <n v="37636"/>
    <n v="-37"/>
    <n v="-2.5410691720235155E-2"/>
    <m/>
    <x v="37"/>
    <n v="-2.5410691720235155E-2"/>
  </r>
  <r>
    <x v="3"/>
    <n v="1662"/>
    <n v="487"/>
    <n v="105980"/>
    <n v="9.08"/>
    <n v="22996"/>
    <n v="1175"/>
    <n v="1.1086997546706925"/>
    <m/>
    <x v="37"/>
    <n v="1.1086997546706925"/>
  </r>
  <r>
    <x v="0"/>
    <n v="1440"/>
    <n v="65"/>
    <n v="126524"/>
    <n v="4.34"/>
    <n v="49772"/>
    <n v="1375"/>
    <n v="1.08675033985647"/>
    <m/>
    <x v="38"/>
    <n v="1.08675033985647"/>
  </r>
  <r>
    <x v="1"/>
    <n v="1884"/>
    <n v="177"/>
    <n v="230448"/>
    <n v="7.8"/>
    <n v="22713"/>
    <n v="1707"/>
    <n v="0.74073109768798173"/>
    <m/>
    <x v="38"/>
    <n v="0.74073109768798173"/>
  </r>
  <r>
    <x v="2"/>
    <n v="861"/>
    <n v="153"/>
    <n v="317007"/>
    <n v="3.85"/>
    <n v="8718"/>
    <n v="708"/>
    <n v="0.22333891680625351"/>
    <m/>
    <x v="38"/>
    <n v="0.22333891680625351"/>
  </r>
  <r>
    <x v="3"/>
    <n v="1063"/>
    <n v="47"/>
    <n v="464239"/>
    <n v="6.58"/>
    <n v="39031"/>
    <n v="1016"/>
    <n v="0.21885278918832757"/>
    <m/>
    <x v="38"/>
    <n v="0.21885278918832757"/>
  </r>
  <r>
    <x v="0"/>
    <n v="1371"/>
    <n v="56"/>
    <n v="257579"/>
    <n v="8.6199999999999992"/>
    <n v="33799"/>
    <n v="1315"/>
    <n v="0.51052298518124528"/>
    <s v="Daily Wellness"/>
    <x v="39"/>
    <n v="0.51052298518124528"/>
  </r>
  <r>
    <x v="1"/>
    <n v="345"/>
    <n v="464"/>
    <n v="366881"/>
    <n v="4.55"/>
    <n v="20553"/>
    <n v="-119"/>
    <n v="-3.2435585380545737E-2"/>
    <s v="Daily Wellness"/>
    <x v="39"/>
    <n v="-3.2435585380545737E-2"/>
  </r>
  <r>
    <x v="2"/>
    <n v="946"/>
    <n v="47"/>
    <n v="466575"/>
    <n v="8.33"/>
    <n v="10002"/>
    <n v="899"/>
    <n v="0.19268070513850935"/>
    <s v="Daily Wellness"/>
    <x v="39"/>
    <n v="0.19268070513850935"/>
  </r>
  <r>
    <x v="3"/>
    <n v="510"/>
    <n v="195"/>
    <n v="224534"/>
    <n v="9.4"/>
    <n v="30987"/>
    <n v="315"/>
    <n v="0.14029055733207443"/>
    <s v="Daily Wellness"/>
    <x v="39"/>
    <n v="0.14029055733207443"/>
  </r>
  <r>
    <x v="0"/>
    <n v="393"/>
    <n v="181"/>
    <n v="462142"/>
    <n v="7.23"/>
    <n v="6296"/>
    <n v="212"/>
    <n v="4.5873346287504703E-2"/>
    <s v="Daily Wellness"/>
    <x v="40"/>
    <n v="4.5873346287504703E-2"/>
  </r>
  <r>
    <x v="1"/>
    <n v="1098"/>
    <n v="190"/>
    <n v="340842"/>
    <n v="9.39"/>
    <n v="21539"/>
    <n v="908"/>
    <n v="0.26639909400836753"/>
    <s v="Daily Wellness"/>
    <x v="40"/>
    <n v="0.26639909400836753"/>
  </r>
  <r>
    <x v="2"/>
    <n v="1399"/>
    <n v="49"/>
    <n v="12471"/>
    <n v="5.12"/>
    <n v="14722"/>
    <n v="1350"/>
    <n v="10.825114265095021"/>
    <s v="Daily Wellness"/>
    <x v="40"/>
    <n v="10.825114265095021"/>
  </r>
  <r>
    <x v="3"/>
    <n v="1658"/>
    <n v="416"/>
    <n v="98397"/>
    <n v="6.11"/>
    <n v="11383"/>
    <n v="1242"/>
    <n v="1.2622336046830696"/>
    <s v="Daily Wellness"/>
    <x v="40"/>
    <n v="1.2622336046830696"/>
  </r>
  <r>
    <x v="0"/>
    <n v="1102"/>
    <n v="422"/>
    <n v="410330"/>
    <n v="7.74"/>
    <n v="9480"/>
    <n v="680"/>
    <n v="0.16572027392586453"/>
    <s v="Daily Wellness"/>
    <x v="41"/>
    <n v="0.16572027392586453"/>
  </r>
  <r>
    <x v="1"/>
    <n v="1358"/>
    <n v="242"/>
    <n v="342129"/>
    <n v="4.9400000000000004"/>
    <n v="29116"/>
    <n v="1116"/>
    <n v="0.32619275185675578"/>
    <s v="Daily Wellness"/>
    <x v="41"/>
    <n v="0.32619275185675578"/>
  </r>
  <r>
    <x v="2"/>
    <n v="1077"/>
    <n v="216"/>
    <n v="12447"/>
    <n v="1.8"/>
    <n v="14068"/>
    <n v="861"/>
    <n v="6.9173294769824052"/>
    <s v="Daily Wellness"/>
    <x v="41"/>
    <n v="6.9173294769824052"/>
  </r>
  <r>
    <x v="3"/>
    <n v="1596"/>
    <n v="211"/>
    <n v="17380"/>
    <n v="8.64"/>
    <n v="35801"/>
    <n v="1385"/>
    <n v="7.9689298043728432"/>
    <s v="Daily Wellness"/>
    <x v="41"/>
    <n v="7.9689298043728432"/>
  </r>
  <r>
    <x v="0"/>
    <n v="490"/>
    <n v="29"/>
    <n v="364810"/>
    <n v="1.53"/>
    <n v="49077"/>
    <n v="461"/>
    <n v="0.12636715002329982"/>
    <s v="Daily Wellness"/>
    <x v="42"/>
    <n v="0.12636715002329982"/>
  </r>
  <r>
    <x v="1"/>
    <n v="609"/>
    <n v="135"/>
    <n v="373606"/>
    <n v="8.52"/>
    <n v="21453"/>
    <n v="474"/>
    <n v="0.1268716241173857"/>
    <s v="Daily Wellness"/>
    <x v="42"/>
    <n v="0.1268716241173857"/>
  </r>
  <r>
    <x v="2"/>
    <n v="364"/>
    <n v="72"/>
    <n v="211090"/>
    <n v="5.53"/>
    <n v="21061"/>
    <n v="292"/>
    <n v="0.13832962243592781"/>
    <s v="Daily Wellness"/>
    <x v="42"/>
    <n v="0.13832962243592781"/>
  </r>
  <r>
    <x v="3"/>
    <n v="442"/>
    <n v="53"/>
    <n v="441931"/>
    <n v="1.87"/>
    <n v="20059"/>
    <n v="389"/>
    <n v="8.8022790888170319E-2"/>
    <s v="Daily Wellness"/>
    <x v="42"/>
    <n v="8.8022790888170319E-2"/>
  </r>
  <r>
    <x v="0"/>
    <n v="1033"/>
    <n v="392"/>
    <n v="282780"/>
    <n v="6.27"/>
    <n v="23140"/>
    <n v="641"/>
    <n v="0.22667798288422092"/>
    <s v="Daily Wellness"/>
    <x v="43"/>
    <n v="0.22667798288422092"/>
  </r>
  <r>
    <x v="1"/>
    <n v="988"/>
    <n v="474"/>
    <n v="370070"/>
    <n v="9.4600000000000009"/>
    <n v="23461"/>
    <n v="514"/>
    <n v="0.13889264193260734"/>
    <s v="Daily Wellness"/>
    <x v="43"/>
    <n v="0.13889264193260734"/>
  </r>
  <r>
    <x v="2"/>
    <n v="1946"/>
    <n v="270"/>
    <n v="198350"/>
    <n v="7.5"/>
    <n v="11805"/>
    <n v="1676"/>
    <n v="0.84497101083942527"/>
    <s v="Daily Wellness"/>
    <x v="43"/>
    <n v="0.84497101083942527"/>
  </r>
  <r>
    <x v="3"/>
    <n v="1957"/>
    <n v="490"/>
    <n v="435726"/>
    <n v="4.7300000000000004"/>
    <n v="15969"/>
    <n v="1467"/>
    <n v="0.33667947287974553"/>
    <s v="Daily Wellness"/>
    <x v="43"/>
    <n v="0.33667947287974553"/>
  </r>
  <r>
    <x v="0"/>
    <n v="559"/>
    <n v="392"/>
    <n v="78789"/>
    <n v="3.19"/>
    <n v="2436"/>
    <n v="167"/>
    <n v="0.21195852212872357"/>
    <m/>
    <x v="44"/>
    <n v="0.21195852212872357"/>
  </r>
  <r>
    <x v="1"/>
    <n v="1307"/>
    <n v="278"/>
    <n v="98596"/>
    <n v="2.4900000000000002"/>
    <n v="47603"/>
    <n v="1029"/>
    <n v="1.0436528865268369"/>
    <m/>
    <x v="44"/>
    <n v="1.0436528865268369"/>
  </r>
  <r>
    <x v="2"/>
    <n v="1432"/>
    <n v="425"/>
    <n v="29589"/>
    <n v="4.5"/>
    <n v="42964"/>
    <n v="1007"/>
    <n v="3.4032917638311533"/>
    <m/>
    <x v="44"/>
    <n v="3.4032917638311533"/>
  </r>
  <r>
    <x v="3"/>
    <n v="623"/>
    <n v="414"/>
    <n v="290354"/>
    <n v="6.49"/>
    <n v="39923"/>
    <n v="209"/>
    <n v="7.1981098934404214E-2"/>
    <m/>
    <x v="44"/>
    <n v="7.1981098934404214E-2"/>
  </r>
  <r>
    <x v="0"/>
    <n v="198"/>
    <n v="358"/>
    <n v="66682"/>
    <n v="6.73"/>
    <n v="2293"/>
    <n v="-160"/>
    <n v="-0.2399448126930806"/>
    <m/>
    <x v="45"/>
    <n v="-0.2399448126930806"/>
  </r>
  <r>
    <x v="1"/>
    <n v="198"/>
    <n v="373"/>
    <n v="70707"/>
    <n v="4.83"/>
    <n v="25920"/>
    <n v="-175"/>
    <n v="-0.24750024750024749"/>
    <m/>
    <x v="45"/>
    <n v="-0.24750024750024749"/>
  </r>
  <r>
    <x v="2"/>
    <n v="353"/>
    <n v="300"/>
    <n v="142507"/>
    <n v="5.3"/>
    <n v="11035"/>
    <n v="53"/>
    <n v="3.7191155522184875E-2"/>
    <m/>
    <x v="45"/>
    <n v="3.7191155522184875E-2"/>
  </r>
  <r>
    <x v="3"/>
    <n v="520"/>
    <n v="375"/>
    <n v="369525"/>
    <n v="6.54"/>
    <n v="20733"/>
    <n v="145"/>
    <n v="3.9239564305527365E-2"/>
    <m/>
    <x v="45"/>
    <n v="3.9239564305527365E-2"/>
  </r>
  <r>
    <x v="0"/>
    <n v="961"/>
    <n v="358"/>
    <n v="62942"/>
    <n v="6.8"/>
    <n v="18693"/>
    <n v="603"/>
    <n v="0.95802484827301337"/>
    <m/>
    <x v="46"/>
    <n v="0.95802484827301337"/>
  </r>
  <r>
    <x v="1"/>
    <n v="1375"/>
    <n v="330"/>
    <n v="377382"/>
    <n v="2.6"/>
    <n v="7875"/>
    <n v="1045"/>
    <n v="0.27690774864725926"/>
    <m/>
    <x v="46"/>
    <n v="0.27690774864725926"/>
  </r>
  <r>
    <x v="2"/>
    <n v="1147"/>
    <n v="388"/>
    <n v="333851"/>
    <n v="2.44"/>
    <n v="8471"/>
    <n v="759"/>
    <n v="0.22734693021737243"/>
    <m/>
    <x v="46"/>
    <n v="0.22734693021737243"/>
  </r>
  <r>
    <x v="3"/>
    <n v="1707"/>
    <n v="74"/>
    <n v="270958"/>
    <n v="3.09"/>
    <n v="14090"/>
    <n v="1633"/>
    <n v="0.60267642955734835"/>
    <m/>
    <x v="46"/>
    <n v="0.60267642955734835"/>
  </r>
  <r>
    <x v="0"/>
    <n v="1693"/>
    <n v="154"/>
    <n v="445944"/>
    <n v="5.69"/>
    <n v="14216"/>
    <n v="1539"/>
    <n v="0.34511059684624079"/>
    <m/>
    <x v="47"/>
    <n v="0.34511059684624079"/>
  </r>
  <r>
    <x v="1"/>
    <n v="833"/>
    <n v="380"/>
    <n v="224830"/>
    <n v="3.86"/>
    <n v="3582"/>
    <n v="453"/>
    <n v="0.2014855668727483"/>
    <m/>
    <x v="47"/>
    <n v="0.2014855668727483"/>
  </r>
  <r>
    <x v="2"/>
    <n v="1222"/>
    <n v="274"/>
    <n v="487289"/>
    <n v="3.16"/>
    <n v="32500"/>
    <n v="948"/>
    <n v="0.19454574184929271"/>
    <m/>
    <x v="47"/>
    <n v="0.19454574184929271"/>
  </r>
  <r>
    <x v="3"/>
    <n v="777"/>
    <n v="140"/>
    <n v="11435"/>
    <n v="1.6"/>
    <n v="6832"/>
    <n v="637"/>
    <n v="5.5706165282028861"/>
    <m/>
    <x v="47"/>
    <n v="5.5706165282028861"/>
  </r>
  <r>
    <x v="0"/>
    <n v="1957"/>
    <n v="76"/>
    <n v="447902"/>
    <n v="6.09"/>
    <n v="33381"/>
    <n v="1881"/>
    <n v="0.41995793722733987"/>
    <m/>
    <x v="48"/>
    <n v="0.41995793722733987"/>
  </r>
  <r>
    <x v="1"/>
    <n v="405"/>
    <n v="66"/>
    <n v="418696"/>
    <n v="5.59"/>
    <n v="48419"/>
    <n v="339"/>
    <n v="8.0965664826031306E-2"/>
    <m/>
    <x v="48"/>
    <n v="8.0965664826031306E-2"/>
  </r>
  <r>
    <x v="2"/>
    <n v="1581"/>
    <n v="71"/>
    <n v="484364"/>
    <n v="3.55"/>
    <n v="16149"/>
    <n v="1510"/>
    <n v="0.311749015203442"/>
    <m/>
    <x v="48"/>
    <n v="0.311749015203442"/>
  </r>
  <r>
    <x v="3"/>
    <n v="1035"/>
    <n v="171"/>
    <n v="148477"/>
    <n v="5.21"/>
    <n v="7541"/>
    <n v="864"/>
    <n v="0.58190830903102841"/>
    <m/>
    <x v="48"/>
    <n v="0.58190830903102841"/>
  </r>
  <r>
    <x v="0"/>
    <n v="1765"/>
    <n v="109"/>
    <n v="468301"/>
    <n v="1.82"/>
    <n v="20042"/>
    <n v="1656"/>
    <n v="0.35361871958419905"/>
    <m/>
    <x v="49"/>
    <n v="0.35361871958419905"/>
  </r>
  <r>
    <x v="1"/>
    <n v="837"/>
    <n v="430"/>
    <n v="364820"/>
    <n v="4"/>
    <n v="49400"/>
    <n v="407"/>
    <n v="0.11156186612576065"/>
    <m/>
    <x v="49"/>
    <n v="0.11156186612576065"/>
  </r>
  <r>
    <x v="2"/>
    <n v="337"/>
    <n v="68"/>
    <n v="456298"/>
    <n v="7.57"/>
    <n v="4007"/>
    <n v="269"/>
    <n v="5.8952701962314107E-2"/>
    <m/>
    <x v="49"/>
    <n v="5.8952701962314107E-2"/>
  </r>
  <r>
    <x v="3"/>
    <n v="119"/>
    <n v="456"/>
    <n v="82558"/>
    <n v="6.81"/>
    <n v="12174"/>
    <n v="-337"/>
    <n v="-0.4081978730104896"/>
    <m/>
    <x v="49"/>
    <n v="-0.4081978730104896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0.30428616268120573"/>
    <x v="0"/>
  </r>
  <r>
    <x v="0"/>
    <n v="2.3491348994232664"/>
    <x v="1"/>
  </r>
  <r>
    <x v="0"/>
    <n v="0.28263208793603661"/>
    <x v="2"/>
  </r>
  <r>
    <x v="0"/>
    <n v="0.27557542170624166"/>
    <x v="3"/>
  </r>
  <r>
    <x v="1"/>
    <n v="1.0517322049758935"/>
    <x v="0"/>
  </r>
  <r>
    <x v="1"/>
    <n v="0.40530081660374973"/>
    <x v="1"/>
  </r>
  <r>
    <x v="1"/>
    <n v="7.3128442639386351E-2"/>
    <x v="2"/>
  </r>
  <r>
    <x v="1"/>
    <n v="0.24016739232334167"/>
    <x v="3"/>
  </r>
  <r>
    <x v="2"/>
    <n v="0.19542790614208244"/>
    <x v="0"/>
  </r>
  <r>
    <x v="2"/>
    <n v="0.8153584745362723"/>
    <x v="1"/>
  </r>
  <r>
    <x v="2"/>
    <n v="1.0551445425805821"/>
    <x v="2"/>
  </r>
  <r>
    <x v="2"/>
    <n v="8.8023800381871797E-2"/>
    <x v="3"/>
  </r>
  <r>
    <x v="3"/>
    <n v="1.7636832660385824"/>
    <x v="0"/>
  </r>
  <r>
    <x v="3"/>
    <n v="6.3510173036698996"/>
    <x v="1"/>
  </r>
  <r>
    <x v="3"/>
    <n v="0.27980604582117208"/>
    <x v="2"/>
  </r>
  <r>
    <x v="3"/>
    <n v="-2.8860773750305036E-2"/>
    <x v="3"/>
  </r>
  <r>
    <x v="4"/>
    <n v="-5.2211602419375981E-2"/>
    <x v="0"/>
  </r>
  <r>
    <x v="4"/>
    <n v="2.9088264703208796E-2"/>
    <x v="1"/>
  </r>
  <r>
    <x v="4"/>
    <n v="0.4303769366169265"/>
    <x v="2"/>
  </r>
  <r>
    <x v="4"/>
    <n v="8.0050669434719113E-2"/>
    <x v="3"/>
  </r>
  <r>
    <x v="5"/>
    <n v="2.8717173625543171"/>
    <x v="0"/>
  </r>
  <r>
    <x v="5"/>
    <n v="0.12276812319721568"/>
    <x v="1"/>
  </r>
  <r>
    <x v="5"/>
    <n v="0.140324773607655"/>
    <x v="2"/>
  </r>
  <r>
    <x v="5"/>
    <n v="0.21994574101175038"/>
    <x v="3"/>
  </r>
  <r>
    <x v="6"/>
    <n v="1.1967386439556591"/>
    <x v="0"/>
  </r>
  <r>
    <x v="6"/>
    <n v="-4.9009939454794309E-2"/>
    <x v="1"/>
  </r>
  <r>
    <x v="6"/>
    <n v="0.18982132901478749"/>
    <x v="2"/>
  </r>
  <r>
    <x v="6"/>
    <n v="0.10211701333265255"/>
    <x v="3"/>
  </r>
  <r>
    <x v="7"/>
    <n v="3.3557613568250697E-2"/>
    <x v="0"/>
  </r>
  <r>
    <x v="7"/>
    <n v="0.32572737872501967"/>
    <x v="1"/>
  </r>
  <r>
    <x v="7"/>
    <n v="0.66371458255580551"/>
    <x v="2"/>
  </r>
  <r>
    <x v="7"/>
    <n v="0.10340418313957282"/>
    <x v="3"/>
  </r>
  <r>
    <x v="8"/>
    <n v="2.2861730899256254"/>
    <x v="0"/>
  </r>
  <r>
    <x v="8"/>
    <n v="-7.309773488968678E-2"/>
    <x v="1"/>
  </r>
  <r>
    <x v="8"/>
    <n v="0.51986619096302167"/>
    <x v="2"/>
  </r>
  <r>
    <x v="8"/>
    <n v="0.76001216019456308"/>
    <x v="3"/>
  </r>
  <r>
    <x v="9"/>
    <n v="8.0371168669857163E-2"/>
    <x v="0"/>
  </r>
  <r>
    <x v="9"/>
    <n v="-0.15755714445670779"/>
    <x v="1"/>
  </r>
  <r>
    <x v="9"/>
    <n v="7.2889860753698937E-2"/>
    <x v="2"/>
  </r>
  <r>
    <x v="9"/>
    <n v="9.9485420240137221E-2"/>
    <x v="3"/>
  </r>
  <r>
    <x v="10"/>
    <n v="0.27085701202809553"/>
    <x v="0"/>
  </r>
  <r>
    <x v="10"/>
    <n v="0.43366318609156984"/>
    <x v="1"/>
  </r>
  <r>
    <x v="10"/>
    <n v="8.5080354946042956E-3"/>
    <x v="2"/>
  </r>
  <r>
    <x v="10"/>
    <n v="1.011348268360087"/>
    <x v="3"/>
  </r>
  <r>
    <x v="11"/>
    <n v="2.335271198731579E-2"/>
    <x v="0"/>
  </r>
  <r>
    <x v="11"/>
    <n v="0.57523759813836151"/>
    <x v="1"/>
  </r>
  <r>
    <x v="11"/>
    <n v="0.88256340939810773"/>
    <x v="2"/>
  </r>
  <r>
    <x v="11"/>
    <n v="0.21728440241071326"/>
    <x v="3"/>
  </r>
  <r>
    <x v="12"/>
    <n v="0.35456226214689768"/>
    <x v="0"/>
  </r>
  <r>
    <x v="12"/>
    <n v="9.7527544941747053E-3"/>
    <x v="1"/>
  </r>
  <r>
    <x v="12"/>
    <n v="0.65914381026955704"/>
    <x v="2"/>
  </r>
  <r>
    <x v="12"/>
    <n v="1.1713324743561855E-2"/>
    <x v="3"/>
  </r>
  <r>
    <x v="13"/>
    <n v="1.2306082974775983"/>
    <x v="0"/>
  </r>
  <r>
    <x v="13"/>
    <n v="0.21026918479944948"/>
    <x v="1"/>
  </r>
  <r>
    <x v="13"/>
    <n v="6.1798299135137513E-2"/>
    <x v="2"/>
  </r>
  <r>
    <x v="13"/>
    <n v="8.9764429025449427E-2"/>
    <x v="3"/>
  </r>
  <r>
    <x v="14"/>
    <n v="0.41581361392816901"/>
    <x v="0"/>
  </r>
  <r>
    <x v="14"/>
    <n v="0.46435400163889645"/>
    <x v="1"/>
  </r>
  <r>
    <x v="14"/>
    <n v="5.990134708914012E-2"/>
    <x v="2"/>
  </r>
  <r>
    <x v="14"/>
    <n v="1.703234597339857"/>
    <x v="3"/>
  </r>
  <r>
    <x v="15"/>
    <n v="0.74222825979957874"/>
    <x v="0"/>
  </r>
  <r>
    <x v="15"/>
    <n v="2.0668041724136478E-2"/>
    <x v="1"/>
  </r>
  <r>
    <x v="15"/>
    <n v="0.2867301296020186"/>
    <x v="2"/>
  </r>
  <r>
    <x v="15"/>
    <n v="-2.6681341404439108E-2"/>
    <x v="3"/>
  </r>
  <r>
    <x v="16"/>
    <n v="0.15758651286601597"/>
    <x v="0"/>
  </r>
  <r>
    <x v="16"/>
    <n v="-7.924822629956663E-3"/>
    <x v="1"/>
  </r>
  <r>
    <x v="16"/>
    <n v="0.62566104068286432"/>
    <x v="2"/>
  </r>
  <r>
    <x v="16"/>
    <n v="1.592351646960128"/>
    <x v="3"/>
  </r>
  <r>
    <x v="17"/>
    <n v="0.27682576721248608"/>
    <x v="0"/>
  </r>
  <r>
    <x v="17"/>
    <n v="-3.9477485703195474E-2"/>
    <x v="1"/>
  </r>
  <r>
    <x v="17"/>
    <n v="0.92287307798970819"/>
    <x v="2"/>
  </r>
  <r>
    <x v="17"/>
    <n v="1.8079694785926241"/>
    <x v="3"/>
  </r>
  <r>
    <x v="18"/>
    <n v="1.000090820213374"/>
    <x v="0"/>
  </r>
  <r>
    <x v="18"/>
    <n v="0.43810281972675247"/>
    <x v="1"/>
  </r>
  <r>
    <x v="18"/>
    <n v="2.2456063766826309E-2"/>
    <x v="2"/>
  </r>
  <r>
    <x v="18"/>
    <n v="0.10019784829366461"/>
    <x v="3"/>
  </r>
  <r>
    <x v="19"/>
    <n v="0.31501331857780751"/>
    <x v="0"/>
  </r>
  <r>
    <x v="19"/>
    <n v="0.18083871090552606"/>
    <x v="1"/>
  </r>
  <r>
    <x v="19"/>
    <n v="-6.4563614529395824E-3"/>
    <x v="2"/>
  </r>
  <r>
    <x v="19"/>
    <n v="0.18425729749269498"/>
    <x v="3"/>
  </r>
  <r>
    <x v="20"/>
    <n v="7.3371064356504964E-2"/>
    <x v="0"/>
  </r>
  <r>
    <x v="20"/>
    <n v="1.8687212668142346"/>
    <x v="1"/>
  </r>
  <r>
    <x v="20"/>
    <n v="0.24623771231227276"/>
    <x v="2"/>
  </r>
  <r>
    <x v="20"/>
    <n v="0.57763419096181545"/>
    <x v="3"/>
  </r>
  <r>
    <x v="21"/>
    <n v="0.166223212379012"/>
    <x v="0"/>
  </r>
  <r>
    <x v="21"/>
    <n v="0.18382090319876945"/>
    <x v="1"/>
  </r>
  <r>
    <x v="21"/>
    <n v="1.5381417584701726E-2"/>
    <x v="2"/>
  </r>
  <r>
    <x v="21"/>
    <n v="0.54180958515762179"/>
    <x v="3"/>
  </r>
  <r>
    <x v="22"/>
    <n v="2.5430053699827071"/>
    <x v="0"/>
  </r>
  <r>
    <x v="22"/>
    <n v="0.16918035252172714"/>
    <x v="1"/>
  </r>
  <r>
    <x v="22"/>
    <n v="0.36508153411678962"/>
    <x v="2"/>
  </r>
  <r>
    <x v="22"/>
    <n v="0.40317597627286211"/>
    <x v="3"/>
  </r>
  <r>
    <x v="23"/>
    <n v="1.7550345364335054"/>
    <x v="0"/>
  </r>
  <r>
    <x v="23"/>
    <n v="-3.4250669665215859E-2"/>
    <x v="1"/>
  </r>
  <r>
    <x v="23"/>
    <n v="1.3172212358971422"/>
    <x v="2"/>
  </r>
  <r>
    <x v="23"/>
    <n v="0.28821299683708945"/>
    <x v="3"/>
  </r>
  <r>
    <x v="24"/>
    <n v="-9.5914811987394058E-2"/>
    <x v="0"/>
  </r>
  <r>
    <x v="24"/>
    <n v="2.124852809675163E-2"/>
    <x v="1"/>
  </r>
  <r>
    <x v="24"/>
    <n v="9.1277744844858608E-2"/>
    <x v="2"/>
  </r>
  <r>
    <x v="24"/>
    <n v="1.9887634863023914E-2"/>
    <x v="3"/>
  </r>
  <r>
    <x v="25"/>
    <n v="0.59936417126309005"/>
    <x v="0"/>
  </r>
  <r>
    <x v="25"/>
    <n v="0.39565022381564841"/>
    <x v="1"/>
  </r>
  <r>
    <x v="25"/>
    <n v="0.11079079758069074"/>
    <x v="2"/>
  </r>
  <r>
    <x v="25"/>
    <n v="1.4152074838090669"/>
    <x v="3"/>
  </r>
  <r>
    <x v="26"/>
    <n v="0.38511033114748661"/>
    <x v="0"/>
  </r>
  <r>
    <x v="26"/>
    <n v="0.36277109484146308"/>
    <x v="1"/>
  </r>
  <r>
    <x v="26"/>
    <n v="0.37850431101244258"/>
    <x v="2"/>
  </r>
  <r>
    <x v="26"/>
    <n v="0.13151115811166245"/>
    <x v="3"/>
  </r>
  <r>
    <x v="27"/>
    <n v="0.5072161583928636"/>
    <x v="0"/>
  </r>
  <r>
    <x v="27"/>
    <n v="3.8307014117515763"/>
    <x v="1"/>
  </r>
  <r>
    <x v="27"/>
    <n v="8.3806473528412688"/>
    <x v="2"/>
  </r>
  <r>
    <x v="27"/>
    <n v="0.12679964770499277"/>
    <x v="3"/>
  </r>
  <r>
    <x v="28"/>
    <n v="0.30759118725472717"/>
    <x v="0"/>
  </r>
  <r>
    <x v="28"/>
    <n v="0.33115688467227011"/>
    <x v="1"/>
  </r>
  <r>
    <x v="28"/>
    <n v="0.41536387893013998"/>
    <x v="2"/>
  </r>
  <r>
    <x v="28"/>
    <n v="0.17917737946946316"/>
    <x v="3"/>
  </r>
  <r>
    <x v="29"/>
    <n v="0.24359408109118752"/>
    <x v="0"/>
  </r>
  <r>
    <x v="29"/>
    <n v="0.78202834584935776"/>
    <x v="1"/>
  </r>
  <r>
    <x v="29"/>
    <n v="1.123041457611657"/>
    <x v="2"/>
  </r>
  <r>
    <x v="29"/>
    <n v="6.3113158835445047"/>
    <x v="3"/>
  </r>
  <r>
    <x v="30"/>
    <n v="1.2535155251271271"/>
    <x v="0"/>
  </r>
  <r>
    <x v="30"/>
    <n v="0.46806929323118035"/>
    <x v="1"/>
  </r>
  <r>
    <x v="30"/>
    <n v="0.55634189738421069"/>
    <x v="2"/>
  </r>
  <r>
    <x v="30"/>
    <n v="1.0669005078738718"/>
    <x v="3"/>
  </r>
  <r>
    <x v="31"/>
    <n v="0.19361810704529764"/>
    <x v="0"/>
  </r>
  <r>
    <x v="31"/>
    <n v="0.64766839378238339"/>
    <x v="1"/>
  </r>
  <r>
    <x v="31"/>
    <n v="0.32008104408927779"/>
    <x v="2"/>
  </r>
  <r>
    <x v="31"/>
    <n v="0.88669950738916259"/>
    <x v="3"/>
  </r>
  <r>
    <x v="32"/>
    <n v="0.49282654051223052"/>
    <x v="0"/>
  </r>
  <r>
    <x v="32"/>
    <n v="0.13262186302564766"/>
    <x v="1"/>
  </r>
  <r>
    <x v="32"/>
    <n v="-2.9514486693885584E-2"/>
    <x v="2"/>
  </r>
  <r>
    <x v="32"/>
    <n v="6.2409087760615085"/>
    <x v="3"/>
  </r>
  <r>
    <x v="33"/>
    <n v="0.40971536250166152"/>
    <x v="0"/>
  </r>
  <r>
    <x v="33"/>
    <n v="8.905295209493419E-2"/>
    <x v="1"/>
  </r>
  <r>
    <x v="33"/>
    <n v="0.71621491270377158"/>
    <x v="2"/>
  </r>
  <r>
    <x v="33"/>
    <n v="0.2148693125665902"/>
    <x v="3"/>
  </r>
  <r>
    <x v="34"/>
    <n v="-4.6464109274628081E-2"/>
    <x v="0"/>
  </r>
  <r>
    <x v="34"/>
    <n v="0.27948348464241363"/>
    <x v="1"/>
  </r>
  <r>
    <x v="34"/>
    <n v="0.54309533874905258"/>
    <x v="2"/>
  </r>
  <r>
    <x v="34"/>
    <n v="0.26534161921203286"/>
    <x v="3"/>
  </r>
  <r>
    <x v="35"/>
    <n v="0.30720567989168157"/>
    <x v="0"/>
  </r>
  <r>
    <x v="35"/>
    <n v="0.5500525785553031"/>
    <x v="1"/>
  </r>
  <r>
    <x v="35"/>
    <n v="0.32046588643454949"/>
    <x v="2"/>
  </r>
  <r>
    <x v="35"/>
    <n v="-7.4972485467156139E-2"/>
    <x v="3"/>
  </r>
  <r>
    <x v="36"/>
    <n v="0.77568587198256844"/>
    <x v="0"/>
  </r>
  <r>
    <x v="36"/>
    <n v="0.29427518601934727"/>
    <x v="1"/>
  </r>
  <r>
    <x v="36"/>
    <n v="0.94958208908059605"/>
    <x v="2"/>
  </r>
  <r>
    <x v="36"/>
    <n v="0.29756017144741181"/>
    <x v="3"/>
  </r>
  <r>
    <x v="37"/>
    <n v="0.21291007252180397"/>
    <x v="0"/>
  </r>
  <r>
    <x v="37"/>
    <n v="1.5147617822744293"/>
    <x v="1"/>
  </r>
  <r>
    <x v="37"/>
    <n v="-2.5410691720235155E-2"/>
    <x v="2"/>
  </r>
  <r>
    <x v="37"/>
    <n v="1.1086997546706925"/>
    <x v="3"/>
  </r>
  <r>
    <x v="38"/>
    <n v="1.08675033985647"/>
    <x v="0"/>
  </r>
  <r>
    <x v="38"/>
    <n v="0.74073109768798173"/>
    <x v="1"/>
  </r>
  <r>
    <x v="38"/>
    <n v="0.22333891680625351"/>
    <x v="2"/>
  </r>
  <r>
    <x v="38"/>
    <n v="0.21885278918832757"/>
    <x v="3"/>
  </r>
  <r>
    <x v="39"/>
    <n v="0.51052298518124528"/>
    <x v="0"/>
  </r>
  <r>
    <x v="39"/>
    <n v="-3.2435585380545737E-2"/>
    <x v="1"/>
  </r>
  <r>
    <x v="39"/>
    <n v="0.19268070513850935"/>
    <x v="2"/>
  </r>
  <r>
    <x v="39"/>
    <n v="0.14029055733207443"/>
    <x v="3"/>
  </r>
  <r>
    <x v="40"/>
    <n v="4.5873346287504703E-2"/>
    <x v="0"/>
  </r>
  <r>
    <x v="40"/>
    <n v="0.26639909400836753"/>
    <x v="1"/>
  </r>
  <r>
    <x v="40"/>
    <n v="10.825114265095021"/>
    <x v="2"/>
  </r>
  <r>
    <x v="40"/>
    <n v="1.2622336046830696"/>
    <x v="3"/>
  </r>
  <r>
    <x v="41"/>
    <n v="0.16572027392586453"/>
    <x v="0"/>
  </r>
  <r>
    <x v="41"/>
    <n v="0.32619275185675578"/>
    <x v="1"/>
  </r>
  <r>
    <x v="41"/>
    <n v="6.9173294769824052"/>
    <x v="2"/>
  </r>
  <r>
    <x v="41"/>
    <n v="7.9689298043728432"/>
    <x v="3"/>
  </r>
  <r>
    <x v="42"/>
    <n v="0.12636715002329982"/>
    <x v="0"/>
  </r>
  <r>
    <x v="42"/>
    <n v="0.1268716241173857"/>
    <x v="1"/>
  </r>
  <r>
    <x v="42"/>
    <n v="0.13832962243592781"/>
    <x v="2"/>
  </r>
  <r>
    <x v="42"/>
    <n v="8.8022790888170319E-2"/>
    <x v="3"/>
  </r>
  <r>
    <x v="43"/>
    <n v="0.22667798288422092"/>
    <x v="0"/>
  </r>
  <r>
    <x v="43"/>
    <n v="0.13889264193260734"/>
    <x v="1"/>
  </r>
  <r>
    <x v="43"/>
    <n v="0.84497101083942527"/>
    <x v="2"/>
  </r>
  <r>
    <x v="43"/>
    <n v="0.33667947287974553"/>
    <x v="3"/>
  </r>
  <r>
    <x v="44"/>
    <n v="0.21195852212872357"/>
    <x v="0"/>
  </r>
  <r>
    <x v="44"/>
    <n v="1.0436528865268369"/>
    <x v="1"/>
  </r>
  <r>
    <x v="44"/>
    <n v="3.4032917638311533"/>
    <x v="2"/>
  </r>
  <r>
    <x v="44"/>
    <n v="7.1981098934404214E-2"/>
    <x v="3"/>
  </r>
  <r>
    <x v="45"/>
    <n v="-0.2399448126930806"/>
    <x v="0"/>
  </r>
  <r>
    <x v="45"/>
    <n v="-0.24750024750024749"/>
    <x v="1"/>
  </r>
  <r>
    <x v="45"/>
    <n v="3.7191155522184875E-2"/>
    <x v="2"/>
  </r>
  <r>
    <x v="45"/>
    <n v="3.9239564305527365E-2"/>
    <x v="3"/>
  </r>
  <r>
    <x v="46"/>
    <n v="0.95802484827301337"/>
    <x v="0"/>
  </r>
  <r>
    <x v="46"/>
    <n v="0.27690774864725926"/>
    <x v="1"/>
  </r>
  <r>
    <x v="46"/>
    <n v="0.22734693021737243"/>
    <x v="2"/>
  </r>
  <r>
    <x v="46"/>
    <n v="0.60267642955734835"/>
    <x v="3"/>
  </r>
  <r>
    <x v="47"/>
    <n v="0.34511059684624079"/>
    <x v="0"/>
  </r>
  <r>
    <x v="47"/>
    <n v="0.2014855668727483"/>
    <x v="1"/>
  </r>
  <r>
    <x v="47"/>
    <n v="0.19454574184929271"/>
    <x v="2"/>
  </r>
  <r>
    <x v="47"/>
    <n v="5.5706165282028861"/>
    <x v="3"/>
  </r>
  <r>
    <x v="48"/>
    <n v="0.41995793722733987"/>
    <x v="0"/>
  </r>
  <r>
    <x v="48"/>
    <n v="8.0965664826031306E-2"/>
    <x v="1"/>
  </r>
  <r>
    <x v="48"/>
    <n v="0.311749015203442"/>
    <x v="2"/>
  </r>
  <r>
    <x v="48"/>
    <n v="0.58190830903102841"/>
    <x v="3"/>
  </r>
  <r>
    <x v="49"/>
    <n v="0.35361871958419905"/>
    <x v="0"/>
  </r>
  <r>
    <x v="49"/>
    <n v="0.11156186612576065"/>
    <x v="1"/>
  </r>
  <r>
    <x v="49"/>
    <n v="5.8952701962314107E-2"/>
    <x v="2"/>
  </r>
  <r>
    <x v="49"/>
    <n v="-0.4081978730104896"/>
    <x v="3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  <r>
    <x v="50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E3F84-A47F-4411-95F4-AD865A3A5F3E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:B15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axis="axisRow" showAll="0">
      <items count="8">
        <item x="3"/>
        <item x="4"/>
        <item x="2"/>
        <item x="0"/>
        <item x="5"/>
        <item x="1"/>
        <item h="1" x="6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ick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365E2-1FF6-4C2F-B26E-9A92B4434F99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9:F32" firstHeaderRow="1" firstDataRow="1" firstDataCol="1"/>
  <pivotFields count="23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Sum of Total Engagement " fld="10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8A495-5D2C-47DF-9EEB-0A7FF5712B37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6:B49" firstHeaderRow="1" firstDataRow="1" firstDataCol="1"/>
  <pivotFields count="23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Total Engagement " fld="10" baseField="0" baseItem="0"/>
  </dataField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64C78-A901-49C0-840B-4E42DEBC2A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1:C6" firstHeaderRow="0" firstDataRow="1" firstDataCol="1"/>
  <pivotFields count="17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>
      <items count="7">
        <item x="4"/>
        <item x="3"/>
        <item x="5"/>
        <item x="1"/>
        <item x="2"/>
        <item x="0"/>
        <item t="default"/>
      </items>
    </pivotField>
    <pivotField showAll="0"/>
    <pivotField numFmtId="1" showAll="0"/>
    <pivotField dataField="1"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Engagement " fld="10" subtotal="average" baseField="0" baseItem="0"/>
    <dataField name="Sum of Shares" fld="6" baseField="0" baseItem="0"/>
  </dataFields>
  <chartFormats count="6"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39D98-7E41-4845-AA33-B1B6C0A7E1CA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1:B44" firstHeaderRow="1" firstDataRow="1" firstDataCol="1"/>
  <pivotFields count="23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Total Engagement " fld="10" baseField="0" baseItem="0"/>
  </dataField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C93D0-5310-4AF6-A8F9-A476BDC2383F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8:F15" firstHeaderRow="1" firstDataRow="1" firstDataCol="1"/>
  <pivotFields count="18">
    <pivotField showAll="0"/>
    <pivotField showAll="0"/>
    <pivotField showAll="0"/>
    <pivotField axis="axisRow" showAll="0">
      <items count="7">
        <item x="4"/>
        <item x="3"/>
        <item x="5"/>
        <item x="1"/>
        <item x="2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ach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E7EC0-4CD7-4BEE-B73E-14C69648AF4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6:B31" firstHeaderRow="1" firstDataRow="1" firstDataCol="1"/>
  <pivotFields count="18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ngagement 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6544D-3176-4470-8175-D20634C308B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34:D39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Engagement Rate" fld="9" baseField="0" baseItem="0" numFmtId="1"/>
  </dataFields>
  <formats count="1">
    <format dxfId="8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A1116-3465-4E3F-8D35-5E2CC1A87AA0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24:F27" firstHeaderRow="1" firstDataRow="1" firstDataCol="1"/>
  <pivotFields count="23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Total Engagement " fld="10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5A389-FFE1-473E-A6AE-E51CC476CDB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4:B39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ngagement 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2BB1A-6581-4BDD-88CC-ED3AF54A571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4" firstHeaderRow="1" firstDataRow="1" firstDataCol="1"/>
  <pivotFields count="17"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axis="axisRow" showAll="0" sortType="ascending">
      <items count="8">
        <item x="3"/>
        <item x="4"/>
        <item x="2"/>
        <item x="0"/>
        <item x="5"/>
        <item x="1"/>
        <item h="1" x="6"/>
        <item t="default"/>
      </items>
    </pivotField>
    <pivotField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ick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2EF06-89C1-4666-9907-2475CC277DBB}" name="PivotTable1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E17:G22" firstHeaderRow="0" firstDataRow="1" firstDataCol="1"/>
  <pivotFields count="8"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numFmtId="166" showAll="0">
      <items count="5">
        <item x="0"/>
        <item x="1"/>
        <item x="2"/>
        <item x="3"/>
        <item t="default"/>
      </items>
    </pivotField>
    <pivotField dataField="1" numFmtI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ngaagement During Campaign" fld="5" baseField="0" baseItem="0"/>
    <dataField name="Sum of Total_Budget" fld="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540EC-7C68-4EEA-8771-074442E4F552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:F6" firstHeaderRow="1" firstDataRow="1" firstDataCol="1"/>
  <pivotFields count="9">
    <pivotField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164" showAll="0"/>
    <pivotField dataField="1" showAll="0"/>
    <pivotField numFmtId="1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d_Spend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6D5D8-B1D9-43A7-A3F6-D2951C66BAE9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:W55" firstHeaderRow="1" firstDataRow="2" firstDataCol="1"/>
  <pivotFields count="3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showAll="0"/>
    <pivotField axis="axisCol" showAll="0">
      <items count="6">
        <item x="1"/>
        <item x="0"/>
        <item x="2"/>
        <item x="3"/>
        <item x="4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Follower Growth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74775-5937-4978-9D4E-17296184AC72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4:V61" firstHeaderRow="1" firstDataRow="1" firstDataCol="0"/>
  <pivotFields count="3">
    <pivotField showAll="0"/>
    <pivotField showAll="0"/>
    <pivotField numFmtId="1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A81D7-CBBA-4A0C-9B0B-8D2C8CA0BB6B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F38:AG45" firstHeaderRow="1" firstDataRow="1" firstDataCol="1"/>
  <pivotFields count="2">
    <pivotField axis="axisRow" showAll="0">
      <items count="7">
        <item x="4"/>
        <item x="5"/>
        <item x="2"/>
        <item x="0"/>
        <item x="3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AFE18-8FC2-4BCD-BEF4-201190218BC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43:I50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8">
        <item x="3"/>
        <item x="4"/>
        <item x="2"/>
        <item x="0"/>
        <item x="5"/>
        <item x="1"/>
        <item h="1" x="6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erage Engagement Rate" fld="9" baseField="0" baseItem="0" numFmtId="1"/>
  </dataFields>
  <formats count="13"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6" type="button" dataOnly="0" labelOnly="1" outline="0" axis="axisRow" fieldPosition="0"/>
    </format>
    <format dxfId="23">
      <pivotArea dataOnly="0" labelOnly="1" fieldPosition="0">
        <references count="1">
          <reference field="16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3452C-8DEB-4B48-A94F-14F7F132F5C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5:F49" firstHeaderRow="1" firstDataRow="1" firstDataCol="1"/>
  <pivotFields count="3">
    <pivotField axis="axisRow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numFmtId="1" showAll="0"/>
  </pivotFields>
  <rowFields count="2">
    <field x="0"/>
    <field x="1"/>
  </rowFields>
  <rowItems count="14">
    <i>
      <x/>
    </i>
    <i r="1">
      <x/>
    </i>
    <i>
      <x v="1"/>
    </i>
    <i r="1">
      <x/>
    </i>
    <i r="1">
      <x v="1"/>
    </i>
    <i>
      <x v="2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Engagement " fld="2" baseField="0" baseItem="0"/>
  </dataFields>
  <formats count="20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1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1"/>
          </reference>
        </references>
      </pivotArea>
    </format>
    <format dxfId="40">
      <pivotArea dataOnly="0" labelOnly="1" fieldPosition="0">
        <references count="2">
          <reference field="0" count="1" selected="0">
            <x v="2"/>
          </reference>
          <reference field="1" count="2">
            <x v="2"/>
            <x v="3"/>
          </reference>
        </references>
      </pivotArea>
    </format>
    <format dxfId="3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1">
      <pivotArea dataOnly="0" labelOnly="1" fieldPosition="0">
        <references count="2">
          <reference field="0" count="1" selected="0">
            <x v="1"/>
          </reference>
          <reference field="1" count="2">
            <x v="0"/>
            <x v="1"/>
          </reference>
        </references>
      </pivotArea>
    </format>
    <format dxfId="30">
      <pivotArea dataOnly="0" labelOnly="1" fieldPosition="0">
        <references count="2">
          <reference field="0" count="1" selected="0">
            <x v="2"/>
          </reference>
          <reference field="1" count="2">
            <x v="2"/>
            <x v="3"/>
          </reference>
        </references>
      </pivotArea>
    </format>
    <format dxfId="2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1E0C2-7A81-447C-BB59-EC1D1746ED8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W1:X6" firstHeaderRow="1" firstDataRow="1" firstDataCol="1"/>
  <pivotFields count="11"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164" showAll="0"/>
    <pivotField numFmtId="44" showAll="0"/>
    <pivotField numFmtId="1" showAll="0"/>
    <pivotField dataField="1" numFmtId="10" showAll="0"/>
    <pivotField showAll="0"/>
    <pivotField showAll="0"/>
    <pivotField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olower Growth" fld="7" baseField="0" baseItem="0" numFmtId="1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D69AA-E94A-4541-BE80-3291D406925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9:X14" firstHeaderRow="1" firstDataRow="1" firstDataCol="1"/>
  <pivotFields count="11"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164" showAll="0"/>
    <pivotField dataField="1" numFmtId="44" showAll="0"/>
    <pivotField numFmtId="1" showAll="0"/>
    <pivotField numFmtId="10" showAll="0"/>
    <pivotField showAll="0"/>
    <pivotField showAll="0"/>
    <pivotField numFmtId="1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d_Spen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CCE59-DFA8-4D11-A245-F678835EA827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W1:X8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8">
        <item x="3"/>
        <item x="4"/>
        <item x="2"/>
        <item x="0"/>
        <item x="5"/>
        <item x="1"/>
        <item h="1" x="6"/>
        <item t="default"/>
      </items>
    </pivotField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verage Engagement Rate" fld="9" baseField="0" baseItem="0" numFmtId="1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A3D96-51C1-4FA5-9A08-293AAE0A439A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W43:X50" firstHeaderRow="1" firstDataRow="1" firstDataCol="1"/>
  <pivotFields count="16"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8">
        <item x="3"/>
        <item x="4"/>
        <item x="2"/>
        <item x="0"/>
        <item x="5"/>
        <item x="1"/>
        <item h="1" x="6"/>
        <item t="default"/>
      </items>
    </pivotField>
    <pivotField dataField="1"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 of Hashtags" fld="14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89AFE-EE32-4808-BCB6-A9266E6FD6AC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W10:X41" firstHeaderRow="1" firstDataRow="1" firstDataCol="1"/>
  <pivotFields count="18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4"/>
        <item x="3"/>
        <item x="5"/>
        <item x="1"/>
        <item x="2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</pivotFields>
  <rowFields count="2">
    <field x="3"/>
    <field x="1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ach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A7E9C-9A0E-4F5D-ACA3-96DA5E64D965}" name="Table1" displayName="Table1" ref="A1:W301" totalsRowShown="0" headerRowDxfId="85" dataDxfId="83" headerRowBorderDxfId="84" tableBorderDxfId="82" totalsRowBorderDxfId="81">
  <autoFilter ref="A1:W301" xr:uid="{C90A7E9C-9A0E-4F5D-ACA3-96DA5E64D965}"/>
  <tableColumns count="23">
    <tableColumn id="1" xr3:uid="{4286D729-3853-4FF8-A0FB-4F345911404D}" name="Post ID" dataDxfId="80"/>
    <tableColumn id="2" xr3:uid="{E470E957-6BFA-4EA0-9578-C1898D2A427D}" name="Platform" dataDxfId="79"/>
    <tableColumn id="3" xr3:uid="{CD89817C-B42D-4525-8097-C0D1740DFECE}" name="Date" dataDxfId="78"/>
    <tableColumn id="4" xr3:uid="{D306FCB8-94A2-4F65-A802-E4271D183B84}" name="Content Type" dataDxfId="77"/>
    <tableColumn id="5" xr3:uid="{35029A4C-3816-433B-9534-B948F8836228}" name="Post Text" dataDxfId="76"/>
    <tableColumn id="6" xr3:uid="{A32D36B9-435D-485E-86D4-C4D39570C5B4}" name="Likes" dataDxfId="75"/>
    <tableColumn id="7" xr3:uid="{76AA74D8-F82E-4855-A5C7-237E18E3E5C0}" name="Shares" dataDxfId="74"/>
    <tableColumn id="8" xr3:uid="{9A416FF5-524A-417F-9AF8-AB94FDFC9D98}" name="Comments" dataDxfId="73"/>
    <tableColumn id="9" xr3:uid="{DF655742-AB9C-4F88-A707-2C3011BA2A32}" name="Impressions" dataDxfId="72"/>
    <tableColumn id="10" xr3:uid="{6C8CC510-BB7F-4A47-8280-784787700698}" name="Average Engagement Rate" dataDxfId="71">
      <calculatedColumnFormula>F2+G2+H2/I2</calculatedColumnFormula>
    </tableColumn>
    <tableColumn id="11" xr3:uid="{48A15970-5E2F-4714-B716-DF35389FED94}" name="Total Engagement " dataDxfId="70">
      <calculatedColumnFormula>F2+G2+H2</calculatedColumnFormula>
    </tableColumn>
    <tableColumn id="12" xr3:uid="{F4CA6987-E2C7-491A-955D-94B7A1F5CF44}" name="Reach" dataDxfId="69"/>
    <tableColumn id="13" xr3:uid="{487766BE-2CEA-4C9E-8FFD-60FAB8181134}" name="Clicks" dataDxfId="68"/>
    <tableColumn id="14" xr3:uid="{30353EA2-E071-4D4F-93F8-010BA70FF9B0}" name="Hashtags 1" dataDxfId="67"/>
    <tableColumn id="15" xr3:uid="{52B908D9-3F08-490D-963D-89184983BA6A}" name="Hashtags 2" dataDxfId="66"/>
    <tableColumn id="16" xr3:uid="{1FB243E9-6141-400E-A0D8-98E894AEF464}" name="Hashtags 3" dataDxfId="65"/>
    <tableColumn id="17" xr3:uid="{6A3B864B-7568-4458-BC06-5E18570F2C14}" name="Unique Hashtags" dataDxfId="64"/>
    <tableColumn id="18" xr3:uid="{16019C7D-9386-47E4-A1A6-89E7FF80B969}" name="Count of Hashtags" dataDxfId="63"/>
    <tableColumn id="19" xr3:uid="{BF766924-1463-4403-AE87-DD105BD76490}" name="Campaign_Name" dataDxfId="62"/>
    <tableColumn id="20" xr3:uid="{07686FA3-33F4-4C8C-B2F1-1880215DEBE9}" name="During SummerSplash or Not" dataDxfId="61">
      <calculatedColumnFormula>IF(AND(C2&gt;='Campaign Metadata'!B$2,Posts!C2&lt;='Campaign Metadata'!C$2),"During","Before/After")</calculatedColumnFormula>
    </tableColumn>
    <tableColumn id="21" xr3:uid="{2BFF1428-5C7C-4852-8F41-FD25B1B5E1A9}" name="During FestiveRadiance or Not" dataDxfId="60">
      <calculatedColumnFormula>IF(AND(C2&gt;='Campaign Metadata'!B$3,Posts!C2&lt;='Campaign Metadata'!C$3),"During","Before/After")</calculatedColumnFormula>
    </tableColumn>
    <tableColumn id="22" xr3:uid="{E815A1BC-4E66-49F1-B473-B8F66CAA5F19}" name="During NewYearRefresh or Not" dataDxfId="59">
      <calculatedColumnFormula>IF(AND(C2&gt;='Campaign Metadata'!B$4,Posts!C2&lt;='Campaign Metadata'!C$4),"During","Before/After")</calculatedColumnFormula>
    </tableColumn>
    <tableColumn id="23" xr3:uid="{037CDA3D-4D29-4D68-B12A-C391363AE2C7}" name="During DailyWellness or Not" dataDxfId="58">
      <calculatedColumnFormula>IF(AND(C2&gt;='Campaign Metadata'!B$5,Posts!C2&lt;='Campaign Metadata'!C$5),"During","Before/After")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597F4-88BB-49FE-8BFC-903BBC4BC677}" name="Table2" displayName="Table2" ref="A1:H5" totalsRowShown="0" headerRowBorderDxfId="57" tableBorderDxfId="56" totalsRowBorderDxfId="55">
  <autoFilter ref="A1:H5" xr:uid="{C06597F4-88BB-49FE-8BFC-903BBC4BC677}"/>
  <tableColumns count="8">
    <tableColumn id="1" xr3:uid="{3ED9E613-F9B0-48F9-8E1D-CC2912E33E9D}" name="Campaign_Name"/>
    <tableColumn id="2" xr3:uid="{72128DE1-3191-470B-AF98-56A8BC915B2A}" name="Start_Date" dataDxfId="54"/>
    <tableColumn id="3" xr3:uid="{436D551F-76C0-4320-90CF-B356AD7B83CF}" name="End_Date" dataDxfId="53"/>
    <tableColumn id="4" xr3:uid="{C76EFA18-AE39-4D76-82E6-0846CFE09B1E}" name="Objective" dataDxfId="52"/>
    <tableColumn id="5" xr3:uid="{2EF99806-5130-43DC-AB3C-84399120F74E}" name="Total_Budget" dataDxfId="51" dataCellStyle="Currency"/>
    <tableColumn id="6" xr3:uid="{6B5C8995-7401-4B6C-8973-B15815F84C68}" name="Total Engaagement During Campaign" dataDxfId="50" dataCellStyle="Currency"/>
    <tableColumn id="7" xr3:uid="{150F6AE4-4B20-4774-8560-F336D7A0289D}" name="Target_Platforms" dataDxfId="49"/>
    <tableColumn id="8" xr3:uid="{98AD63AF-C86B-4E32-AEFB-BE09C321777D}" name="Primary_Hashtags" dataDxfId="48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18E362-73F6-4576-9B89-CCDD8DA6993C}" name="Table3" displayName="Table3" ref="H35:I41" totalsRowShown="0">
  <autoFilter ref="H35:I41" xr:uid="{2A18E362-73F6-4576-9B89-CCDD8DA6993C}"/>
  <tableColumns count="2">
    <tableColumn id="1" xr3:uid="{326B2D64-C326-4CE8-9B96-B42BCAD2FA77}" name="Hastags"/>
    <tableColumn id="2" xr3:uid="{9F54EE76-D131-46BB-83F5-4FB2124F0396}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E5BA78-7B8E-4F87-AB90-07B3056D109C}" name="Table4" displayName="Table4" ref="A35:C41" totalsRowShown="0" headerRowDxfId="14" headerRowBorderDxfId="13" tableBorderDxfId="12" totalsRowBorderDxfId="11">
  <autoFilter ref="A35:C41" xr:uid="{59E5BA78-7B8E-4F87-AB90-07B3056D109C}"/>
  <sortState xmlns:xlrd2="http://schemas.microsoft.com/office/spreadsheetml/2017/richdata2" ref="A36:C41">
    <sortCondition ref="C35:C41"/>
  </sortState>
  <tableColumns count="3">
    <tableColumn id="1" xr3:uid="{DDBA941A-BCD4-4119-95BA-7C645FAAD306}" name="Hashtags" dataDxfId="10"/>
    <tableColumn id="2" xr3:uid="{C784DF4C-182C-4899-AFE5-C9CC682365C5}" name="Count" dataDxfId="9"/>
    <tableColumn id="3" xr3:uid="{DEB753E8-3B76-4C29-A48B-41DDA4CF8740}" name="Rank" dataDxfId="8">
      <calculatedColumnFormula>RANK(B36,$B$36:$B$53)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89B6BE-55B8-4CB3-B201-32BD6C942D36}" name="Table5" displayName="Table5" ref="A43:C53" totalsRowShown="0" headerRowBorderDxfId="7" tableBorderDxfId="6" totalsRowBorderDxfId="5">
  <autoFilter ref="A43:C53" xr:uid="{9E89B6BE-55B8-4CB3-B201-32BD6C942D36}"/>
  <sortState xmlns:xlrd2="http://schemas.microsoft.com/office/spreadsheetml/2017/richdata2" ref="A44:C53">
    <sortCondition descending="1" ref="C43:C53"/>
  </sortState>
  <tableColumns count="3">
    <tableColumn id="1" xr3:uid="{2465B7C4-BA3B-4733-AAF5-920764084928}" name="Platform" dataDxfId="4"/>
    <tableColumn id="2" xr3:uid="{41005459-70CC-43EE-835D-35D25DD805A8}" name="Content Type" dataDxfId="3"/>
    <tableColumn id="3" xr3:uid="{93898C12-5D73-4356-AF38-40814C07173B}" name="Total Engagement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1-15T19:10:44.76" personId="{D360B772-6FD2-41AE-B4D8-D0A7B197400A}" id="{DFEE78F5-91BC-4264-B910-65D6BB38929A}">
    <text>Top 10 Posts by engagement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4" dT="2026-01-15T19:10:44.76" personId="{D360B772-6FD2-41AE-B4D8-D0A7B197400A}" id="{1F35166A-3446-412C-B741-60D1D43EF7DE}">
    <text>Top 10 Posts by engagement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17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vmlDrawing" Target="../drawings/vmlDrawing2.vml"/><Relationship Id="rId11" Type="http://schemas.microsoft.com/office/2017/10/relationships/threadedComment" Target="../threadedComments/threadedComment2.xml"/><Relationship Id="rId5" Type="http://schemas.openxmlformats.org/officeDocument/2006/relationships/drawing" Target="../drawings/drawing1.xml"/><Relationship Id="rId10" Type="http://schemas.openxmlformats.org/officeDocument/2006/relationships/comments" Target="../comments2.xml"/><Relationship Id="rId4" Type="http://schemas.openxmlformats.org/officeDocument/2006/relationships/pivotTable" Target="../pivotTables/pivotTable18.xml"/><Relationship Id="rId9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4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E616-77BF-4BA3-99FA-99279B386D9F}">
  <dimension ref="A1:G49"/>
  <sheetViews>
    <sheetView topLeftCell="A8" zoomScale="80" zoomScaleNormal="80" workbookViewId="0">
      <selection activeCell="G48" sqref="G48"/>
    </sheetView>
  </sheetViews>
  <sheetFormatPr defaultRowHeight="15" x14ac:dyDescent="0.25"/>
  <cols>
    <col min="1" max="1" width="24.28515625" bestFit="1" customWidth="1"/>
    <col min="2" max="2" width="28.7109375" bestFit="1" customWidth="1"/>
    <col min="3" max="3" width="17.42578125" bestFit="1" customWidth="1"/>
    <col min="4" max="4" width="32.42578125" bestFit="1" customWidth="1"/>
    <col min="5" max="5" width="17.42578125" bestFit="1" customWidth="1"/>
    <col min="6" max="6" width="42.140625" bestFit="1" customWidth="1"/>
    <col min="7" max="7" width="20.140625" bestFit="1" customWidth="1"/>
    <col min="8" max="8" width="31.42578125" bestFit="1" customWidth="1"/>
    <col min="10" max="10" width="24.28515625" bestFit="1" customWidth="1"/>
    <col min="11" max="11" width="24.5703125" bestFit="1" customWidth="1"/>
    <col min="14" max="14" width="13.140625" bestFit="1" customWidth="1"/>
    <col min="15" max="15" width="24.28515625" bestFit="1" customWidth="1"/>
    <col min="16" max="16" width="17.42578125" bestFit="1" customWidth="1"/>
    <col min="17" max="17" width="32.42578125" bestFit="1" customWidth="1"/>
  </cols>
  <sheetData>
    <row r="1" spans="1:6" x14ac:dyDescent="0.25">
      <c r="A1" s="28" t="s">
        <v>604</v>
      </c>
      <c r="B1" t="s">
        <v>637</v>
      </c>
      <c r="C1" t="s">
        <v>607</v>
      </c>
      <c r="E1" s="28" t="s">
        <v>604</v>
      </c>
      <c r="F1" t="s">
        <v>612</v>
      </c>
    </row>
    <row r="2" spans="1:6" x14ac:dyDescent="0.25">
      <c r="A2" s="29" t="s">
        <v>40</v>
      </c>
      <c r="B2" s="31">
        <v>3677.6144578313251</v>
      </c>
      <c r="C2" s="31">
        <v>39181</v>
      </c>
      <c r="E2" s="29" t="s">
        <v>40</v>
      </c>
      <c r="F2" s="31">
        <v>1379539</v>
      </c>
    </row>
    <row r="3" spans="1:6" x14ac:dyDescent="0.25">
      <c r="A3" s="29" t="s">
        <v>30</v>
      </c>
      <c r="B3" s="31">
        <v>3336.4430379746836</v>
      </c>
      <c r="C3" s="31">
        <v>41444</v>
      </c>
      <c r="E3" s="29" t="s">
        <v>30</v>
      </c>
      <c r="F3" s="31">
        <v>1164373</v>
      </c>
    </row>
    <row r="4" spans="1:6" x14ac:dyDescent="0.25">
      <c r="A4" s="29" t="s">
        <v>13</v>
      </c>
      <c r="B4" s="31">
        <v>3240.5696202531644</v>
      </c>
      <c r="C4" s="31">
        <v>33728</v>
      </c>
      <c r="E4" s="29" t="s">
        <v>13</v>
      </c>
      <c r="F4" s="31">
        <v>1060357</v>
      </c>
    </row>
    <row r="5" spans="1:6" x14ac:dyDescent="0.25">
      <c r="A5" s="29" t="s">
        <v>24</v>
      </c>
      <c r="B5" s="31">
        <v>3609.1694915254238</v>
      </c>
      <c r="C5" s="31">
        <v>28572</v>
      </c>
      <c r="E5" s="29" t="s">
        <v>24</v>
      </c>
      <c r="F5" s="31">
        <v>1228647</v>
      </c>
    </row>
    <row r="6" spans="1:6" x14ac:dyDescent="0.25">
      <c r="A6" s="29" t="s">
        <v>605</v>
      </c>
      <c r="B6" s="31">
        <v>3459.2233333333334</v>
      </c>
      <c r="C6" s="31">
        <v>142925</v>
      </c>
      <c r="E6" s="29" t="s">
        <v>605</v>
      </c>
      <c r="F6" s="31">
        <v>4832916</v>
      </c>
    </row>
    <row r="8" spans="1:6" x14ac:dyDescent="0.25">
      <c r="A8" s="28" t="s">
        <v>604</v>
      </c>
      <c r="B8" t="s">
        <v>608</v>
      </c>
      <c r="E8" s="28" t="s">
        <v>604</v>
      </c>
      <c r="F8" t="s">
        <v>615</v>
      </c>
    </row>
    <row r="9" spans="1:6" x14ac:dyDescent="0.25">
      <c r="A9" s="29" t="s">
        <v>597</v>
      </c>
      <c r="B9" s="31">
        <v>170</v>
      </c>
      <c r="E9" s="29" t="s">
        <v>42</v>
      </c>
      <c r="F9" s="31">
        <v>2084819</v>
      </c>
    </row>
    <row r="10" spans="1:6" x14ac:dyDescent="0.25">
      <c r="A10" s="29" t="s">
        <v>598</v>
      </c>
      <c r="B10" s="31">
        <v>298</v>
      </c>
      <c r="E10" s="29" t="s">
        <v>49</v>
      </c>
      <c r="F10" s="31">
        <v>2224104</v>
      </c>
    </row>
    <row r="11" spans="1:6" x14ac:dyDescent="0.25">
      <c r="A11" s="29" t="s">
        <v>59</v>
      </c>
      <c r="B11" s="31">
        <v>169</v>
      </c>
      <c r="E11" s="29" t="s">
        <v>15</v>
      </c>
      <c r="F11" s="31">
        <v>1630594</v>
      </c>
    </row>
    <row r="12" spans="1:6" x14ac:dyDescent="0.25">
      <c r="A12" s="29" t="s">
        <v>27</v>
      </c>
      <c r="B12" s="31">
        <v>128</v>
      </c>
      <c r="E12" s="29" t="s">
        <v>32</v>
      </c>
      <c r="F12" s="31">
        <v>1455419</v>
      </c>
    </row>
    <row r="13" spans="1:6" x14ac:dyDescent="0.25">
      <c r="A13" s="29" t="s">
        <v>592</v>
      </c>
      <c r="B13" s="31">
        <v>245</v>
      </c>
      <c r="E13" s="29" t="s">
        <v>20</v>
      </c>
      <c r="F13" s="31">
        <v>1456821</v>
      </c>
    </row>
    <row r="14" spans="1:6" x14ac:dyDescent="0.25">
      <c r="A14" s="29" t="s">
        <v>34</v>
      </c>
      <c r="B14" s="31">
        <v>155</v>
      </c>
      <c r="E14" s="29" t="s">
        <v>71</v>
      </c>
      <c r="F14" s="31">
        <v>1379866</v>
      </c>
    </row>
    <row r="15" spans="1:6" x14ac:dyDescent="0.25">
      <c r="A15" s="29" t="s">
        <v>605</v>
      </c>
      <c r="B15" s="31">
        <v>1165</v>
      </c>
      <c r="E15" s="29" t="s">
        <v>605</v>
      </c>
      <c r="F15" s="31">
        <v>10231623</v>
      </c>
    </row>
    <row r="17" spans="1:7" x14ac:dyDescent="0.25">
      <c r="A17" s="28" t="s">
        <v>604</v>
      </c>
      <c r="B17" t="s">
        <v>608</v>
      </c>
      <c r="E17" s="28" t="s">
        <v>604</v>
      </c>
      <c r="F17" t="s">
        <v>624</v>
      </c>
      <c r="G17" t="s">
        <v>625</v>
      </c>
    </row>
    <row r="18" spans="1:7" x14ac:dyDescent="0.25">
      <c r="A18" s="29" t="s">
        <v>597</v>
      </c>
      <c r="B18" s="31">
        <v>170</v>
      </c>
      <c r="E18" s="29" t="s">
        <v>35</v>
      </c>
      <c r="F18" s="31">
        <v>33044</v>
      </c>
      <c r="G18" s="31">
        <v>180000</v>
      </c>
    </row>
    <row r="19" spans="1:7" x14ac:dyDescent="0.25">
      <c r="A19" s="29" t="s">
        <v>598</v>
      </c>
      <c r="B19" s="31">
        <v>298</v>
      </c>
      <c r="E19" s="29" t="s">
        <v>22</v>
      </c>
      <c r="F19" s="31">
        <v>106020</v>
      </c>
      <c r="G19" s="31">
        <v>200000</v>
      </c>
    </row>
    <row r="20" spans="1:7" x14ac:dyDescent="0.25">
      <c r="A20" s="29" t="s">
        <v>59</v>
      </c>
      <c r="B20" s="31">
        <v>169</v>
      </c>
      <c r="E20" s="29" t="s">
        <v>28</v>
      </c>
      <c r="F20" s="31">
        <v>137691</v>
      </c>
      <c r="G20" s="31">
        <v>250000</v>
      </c>
    </row>
    <row r="21" spans="1:7" x14ac:dyDescent="0.25">
      <c r="A21" s="29" t="s">
        <v>27</v>
      </c>
      <c r="B21" s="31">
        <v>128</v>
      </c>
      <c r="E21" s="29" t="s">
        <v>17</v>
      </c>
      <c r="F21" s="31">
        <v>103773</v>
      </c>
      <c r="G21" s="31">
        <v>150000</v>
      </c>
    </row>
    <row r="22" spans="1:7" x14ac:dyDescent="0.25">
      <c r="A22" s="29" t="s">
        <v>592</v>
      </c>
      <c r="B22" s="31">
        <v>245</v>
      </c>
      <c r="E22" s="29" t="s">
        <v>605</v>
      </c>
      <c r="F22" s="31">
        <v>380528</v>
      </c>
      <c r="G22" s="31">
        <v>780000</v>
      </c>
    </row>
    <row r="23" spans="1:7" x14ac:dyDescent="0.25">
      <c r="A23" s="29" t="s">
        <v>34</v>
      </c>
      <c r="B23" s="31">
        <v>155</v>
      </c>
    </row>
    <row r="24" spans="1:7" x14ac:dyDescent="0.25">
      <c r="A24" s="29" t="s">
        <v>605</v>
      </c>
      <c r="B24" s="31">
        <v>1165</v>
      </c>
      <c r="E24" s="28" t="s">
        <v>604</v>
      </c>
      <c r="F24" t="s">
        <v>606</v>
      </c>
    </row>
    <row r="25" spans="1:7" x14ac:dyDescent="0.25">
      <c r="E25" s="29" t="s">
        <v>622</v>
      </c>
      <c r="F25" s="31">
        <v>1004723</v>
      </c>
    </row>
    <row r="26" spans="1:7" x14ac:dyDescent="0.25">
      <c r="A26" s="28" t="s">
        <v>604</v>
      </c>
      <c r="B26" t="s">
        <v>606</v>
      </c>
      <c r="E26" s="29" t="s">
        <v>617</v>
      </c>
      <c r="F26" s="31">
        <v>33044</v>
      </c>
    </row>
    <row r="27" spans="1:7" x14ac:dyDescent="0.25">
      <c r="A27" s="29" t="s">
        <v>40</v>
      </c>
      <c r="B27" s="31">
        <v>305242</v>
      </c>
      <c r="E27" s="29" t="s">
        <v>605</v>
      </c>
      <c r="F27" s="31">
        <v>1037767</v>
      </c>
    </row>
    <row r="28" spans="1:7" x14ac:dyDescent="0.25">
      <c r="A28" s="29" t="s">
        <v>30</v>
      </c>
      <c r="B28" s="31">
        <v>263579</v>
      </c>
    </row>
    <row r="29" spans="1:7" x14ac:dyDescent="0.25">
      <c r="A29" s="29" t="s">
        <v>13</v>
      </c>
      <c r="B29" s="31">
        <v>256005</v>
      </c>
      <c r="E29" s="28" t="s">
        <v>604</v>
      </c>
      <c r="F29" t="s">
        <v>606</v>
      </c>
    </row>
    <row r="30" spans="1:7" x14ac:dyDescent="0.25">
      <c r="A30" s="29" t="s">
        <v>24</v>
      </c>
      <c r="B30" s="31">
        <v>212941</v>
      </c>
      <c r="E30" s="29" t="s">
        <v>622</v>
      </c>
      <c r="F30" s="31">
        <v>900076</v>
      </c>
    </row>
    <row r="31" spans="1:7" x14ac:dyDescent="0.25">
      <c r="A31" s="29" t="s">
        <v>605</v>
      </c>
      <c r="B31" s="31">
        <v>1037767</v>
      </c>
      <c r="E31" s="29" t="s">
        <v>617</v>
      </c>
      <c r="F31" s="31">
        <v>137691</v>
      </c>
    </row>
    <row r="32" spans="1:7" x14ac:dyDescent="0.25">
      <c r="E32" s="29" t="s">
        <v>605</v>
      </c>
      <c r="F32" s="31">
        <v>1037767</v>
      </c>
    </row>
    <row r="34" spans="1:4" x14ac:dyDescent="0.25">
      <c r="A34" s="28" t="s">
        <v>604</v>
      </c>
      <c r="B34" t="s">
        <v>606</v>
      </c>
      <c r="C34" s="28" t="s">
        <v>604</v>
      </c>
      <c r="D34" t="s">
        <v>616</v>
      </c>
    </row>
    <row r="35" spans="1:4" x14ac:dyDescent="0.25">
      <c r="A35" s="29" t="s">
        <v>35</v>
      </c>
      <c r="B35" s="31">
        <v>240483</v>
      </c>
      <c r="C35" s="29" t="s">
        <v>35</v>
      </c>
      <c r="D35" s="5">
        <v>222770.15096304318</v>
      </c>
    </row>
    <row r="36" spans="1:4" x14ac:dyDescent="0.25">
      <c r="A36" s="29" t="s">
        <v>22</v>
      </c>
      <c r="B36" s="31">
        <v>201739</v>
      </c>
      <c r="C36" s="29" t="s">
        <v>22</v>
      </c>
      <c r="D36" s="5">
        <v>186337.01677625385</v>
      </c>
    </row>
    <row r="37" spans="1:4" x14ac:dyDescent="0.25">
      <c r="A37" s="29" t="s">
        <v>28</v>
      </c>
      <c r="B37" s="31">
        <v>232821</v>
      </c>
      <c r="C37" s="29" t="s">
        <v>28</v>
      </c>
      <c r="D37" s="5">
        <v>216256.27400857146</v>
      </c>
    </row>
    <row r="38" spans="1:4" x14ac:dyDescent="0.25">
      <c r="A38" s="29" t="s">
        <v>17</v>
      </c>
      <c r="B38" s="31">
        <v>173901</v>
      </c>
      <c r="C38" s="29" t="s">
        <v>17</v>
      </c>
      <c r="D38" s="5">
        <v>161846.70443482412</v>
      </c>
    </row>
    <row r="39" spans="1:4" x14ac:dyDescent="0.25">
      <c r="A39" s="29" t="s">
        <v>605</v>
      </c>
      <c r="B39" s="31">
        <v>848944</v>
      </c>
      <c r="C39" s="29" t="s">
        <v>605</v>
      </c>
      <c r="D39" s="5">
        <v>787210.14618269261</v>
      </c>
    </row>
    <row r="41" spans="1:4" x14ac:dyDescent="0.25">
      <c r="A41" s="28" t="s">
        <v>604</v>
      </c>
      <c r="B41" t="s">
        <v>606</v>
      </c>
    </row>
    <row r="42" spans="1:4" x14ac:dyDescent="0.25">
      <c r="A42" s="29" t="s">
        <v>622</v>
      </c>
      <c r="B42" s="31">
        <v>933994</v>
      </c>
    </row>
    <row r="43" spans="1:4" x14ac:dyDescent="0.25">
      <c r="A43" s="29" t="s">
        <v>617</v>
      </c>
      <c r="B43" s="31">
        <v>103773</v>
      </c>
    </row>
    <row r="44" spans="1:4" x14ac:dyDescent="0.25">
      <c r="A44" s="29" t="s">
        <v>605</v>
      </c>
      <c r="B44" s="31">
        <v>1037767</v>
      </c>
    </row>
    <row r="46" spans="1:4" x14ac:dyDescent="0.25">
      <c r="A46" s="28" t="s">
        <v>604</v>
      </c>
      <c r="B46" t="s">
        <v>606</v>
      </c>
    </row>
    <row r="47" spans="1:4" x14ac:dyDescent="0.25">
      <c r="A47" s="29" t="s">
        <v>622</v>
      </c>
      <c r="B47" s="31">
        <v>931747</v>
      </c>
    </row>
    <row r="48" spans="1:4" x14ac:dyDescent="0.25">
      <c r="A48" s="29" t="s">
        <v>617</v>
      </c>
      <c r="B48" s="31">
        <v>106020</v>
      </c>
    </row>
    <row r="49" spans="1:2" x14ac:dyDescent="0.25">
      <c r="A49" s="29" t="s">
        <v>605</v>
      </c>
      <c r="B49" s="31">
        <v>1037767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opLeftCell="K1" zoomScaleNormal="100" workbookViewId="0">
      <selection activeCell="K1" sqref="K1:K301"/>
    </sheetView>
  </sheetViews>
  <sheetFormatPr defaultColWidth="14.42578125" defaultRowHeight="15" x14ac:dyDescent="0.25"/>
  <cols>
    <col min="1" max="1" width="11.7109375" bestFit="1" customWidth="1"/>
    <col min="2" max="2" width="13.28515625" style="94" bestFit="1" customWidth="1"/>
    <col min="3" max="3" width="10.42578125" style="34" bestFit="1" customWidth="1"/>
    <col min="4" max="4" width="17.42578125" bestFit="1" customWidth="1"/>
    <col min="5" max="5" width="40" bestFit="1" customWidth="1"/>
    <col min="6" max="6" width="10" style="5" bestFit="1" customWidth="1"/>
    <col min="7" max="7" width="11.42578125" style="5" bestFit="1" customWidth="1"/>
    <col min="8" max="8" width="15.140625" style="5" bestFit="1" customWidth="1"/>
    <col min="9" max="9" width="16.28515625" style="5" bestFit="1" customWidth="1"/>
    <col min="10" max="10" width="29.140625" style="5" bestFit="1" customWidth="1"/>
    <col min="11" max="11" width="21.5703125" style="5" bestFit="1" customWidth="1"/>
    <col min="12" max="12" width="10.85546875" style="5" bestFit="1" customWidth="1"/>
    <col min="13" max="13" width="10.5703125" style="5" bestFit="1" customWidth="1"/>
    <col min="14" max="14" width="17.85546875" bestFit="1" customWidth="1"/>
    <col min="15" max="15" width="22.28515625" bestFit="1" customWidth="1"/>
    <col min="16" max="16" width="20.5703125" bestFit="1" customWidth="1"/>
    <col min="17" max="17" width="22.28515625" bestFit="1" customWidth="1"/>
    <col min="18" max="18" width="21.5703125" bestFit="1" customWidth="1"/>
    <col min="19" max="19" width="20.7109375" bestFit="1" customWidth="1"/>
    <col min="20" max="20" width="31.5703125" bestFit="1" customWidth="1"/>
    <col min="21" max="21" width="32.85546875" bestFit="1" customWidth="1"/>
    <col min="22" max="22" width="33.42578125" bestFit="1" customWidth="1"/>
    <col min="23" max="23" width="31.140625" bestFit="1" customWidth="1"/>
    <col min="24" max="30" width="8.7109375" customWidth="1"/>
  </cols>
  <sheetData>
    <row r="1" spans="1:23" x14ac:dyDescent="0.25">
      <c r="A1" s="51" t="s">
        <v>0</v>
      </c>
      <c r="B1" s="91" t="s">
        <v>1</v>
      </c>
      <c r="C1" s="53" t="s">
        <v>2</v>
      </c>
      <c r="D1" s="52" t="s">
        <v>3</v>
      </c>
      <c r="E1" s="52" t="s">
        <v>4</v>
      </c>
      <c r="F1" s="54" t="s">
        <v>5</v>
      </c>
      <c r="G1" s="54" t="s">
        <v>6</v>
      </c>
      <c r="H1" s="55" t="s">
        <v>7</v>
      </c>
      <c r="I1" s="55" t="s">
        <v>8</v>
      </c>
      <c r="J1" s="55" t="s">
        <v>602</v>
      </c>
      <c r="K1" s="55" t="s">
        <v>603</v>
      </c>
      <c r="L1" s="54" t="s">
        <v>9</v>
      </c>
      <c r="M1" s="54" t="s">
        <v>10</v>
      </c>
      <c r="N1" s="56" t="s">
        <v>599</v>
      </c>
      <c r="O1" s="56" t="s">
        <v>600</v>
      </c>
      <c r="P1" s="56" t="s">
        <v>601</v>
      </c>
      <c r="Q1" s="56" t="s">
        <v>609</v>
      </c>
      <c r="R1" s="57" t="s">
        <v>613</v>
      </c>
      <c r="S1" s="52" t="s">
        <v>11</v>
      </c>
      <c r="T1" s="57" t="s">
        <v>618</v>
      </c>
      <c r="U1" s="58" t="s">
        <v>621</v>
      </c>
      <c r="V1" s="58" t="s">
        <v>620</v>
      </c>
      <c r="W1" s="59" t="s">
        <v>619</v>
      </c>
    </row>
    <row r="2" spans="1:23" x14ac:dyDescent="0.25">
      <c r="A2" s="49" t="s">
        <v>170</v>
      </c>
      <c r="B2" s="92" t="s">
        <v>13</v>
      </c>
      <c r="C2" s="35" t="s">
        <v>171</v>
      </c>
      <c r="D2" s="17" t="s">
        <v>71</v>
      </c>
      <c r="E2" s="17" t="s">
        <v>141</v>
      </c>
      <c r="F2" s="18">
        <v>4886</v>
      </c>
      <c r="G2" s="18">
        <v>983</v>
      </c>
      <c r="H2" s="18">
        <v>409</v>
      </c>
      <c r="I2" s="18">
        <v>43974</v>
      </c>
      <c r="J2" s="18">
        <f t="shared" ref="J2:J65" si="0">F2+G2+H2/I2</f>
        <v>5869.0093009505617</v>
      </c>
      <c r="K2" s="18">
        <f t="shared" ref="K2:K65" si="1">F2+G2+H2</f>
        <v>6278</v>
      </c>
      <c r="L2" s="18">
        <v>43239</v>
      </c>
      <c r="M2" s="18">
        <v>65</v>
      </c>
      <c r="N2" s="19" t="s">
        <v>27</v>
      </c>
      <c r="O2" s="20"/>
      <c r="P2" s="20"/>
      <c r="Q2" s="20" t="e" cm="1" vm="1">
        <f t="array" aca="1" ref="Q2" ca="1">_xlfn.UNIQUE(Posts!N2:N301)</f>
        <v>#VALUE!</v>
      </c>
      <c r="R2" s="20">
        <f>COUNTIF(N:P,"#PepsiCoRefresh")</f>
        <v>107</v>
      </c>
      <c r="S2" s="21" t="s">
        <v>17</v>
      </c>
      <c r="T2" s="20" t="str">
        <f>IF(AND(C2&gt;='Campaign Metadata'!B$2,Posts!C2&lt;='Campaign Metadata'!C$2),"During","Before/After")</f>
        <v>Before/After</v>
      </c>
      <c r="U2" s="20" t="str">
        <f>IF(AND(C2&gt;='Campaign Metadata'!B$3,Posts!C2&lt;='Campaign Metadata'!C$3),"During","Before/After")</f>
        <v>Before/After</v>
      </c>
      <c r="V2" s="20" t="str">
        <f>IF(AND(C2&gt;='Campaign Metadata'!B$4,Posts!C2&lt;='Campaign Metadata'!C$4),"During","Before/After")</f>
        <v>Before/After</v>
      </c>
      <c r="W2" s="50" t="str">
        <f>IF(AND(C2&gt;='Campaign Metadata'!B$5,Posts!C2&lt;='Campaign Metadata'!C$5),"During","Before/After")</f>
        <v>Before/After</v>
      </c>
    </row>
    <row r="3" spans="1:23" x14ac:dyDescent="0.25">
      <c r="A3" s="49" t="s">
        <v>313</v>
      </c>
      <c r="B3" s="92" t="s">
        <v>24</v>
      </c>
      <c r="C3" s="35" t="s">
        <v>195</v>
      </c>
      <c r="D3" s="17" t="s">
        <v>32</v>
      </c>
      <c r="E3" s="17" t="s">
        <v>150</v>
      </c>
      <c r="F3" s="18">
        <v>4929</v>
      </c>
      <c r="G3" s="18">
        <v>749</v>
      </c>
      <c r="H3" s="18">
        <v>452</v>
      </c>
      <c r="I3" s="18">
        <v>93651</v>
      </c>
      <c r="J3" s="18">
        <f t="shared" si="0"/>
        <v>5678.0048264300431</v>
      </c>
      <c r="K3" s="18">
        <f t="shared" si="1"/>
        <v>6130</v>
      </c>
      <c r="L3" s="18">
        <v>92810</v>
      </c>
      <c r="M3" s="18">
        <v>66</v>
      </c>
      <c r="N3" s="19" t="s">
        <v>34</v>
      </c>
      <c r="O3" s="20"/>
      <c r="P3" s="20"/>
      <c r="Q3" s="20"/>
      <c r="R3" s="20">
        <f>COUNTIF(N:P,"#ThirstyForMore")</f>
        <v>102</v>
      </c>
      <c r="S3" s="22" t="s">
        <v>35</v>
      </c>
      <c r="T3" s="20" t="str">
        <f>IF(AND(C3&gt;='Campaign Metadata'!B$2,Posts!C3&lt;='Campaign Metadata'!C$2),"During","Before/After")</f>
        <v>Before/After</v>
      </c>
      <c r="U3" s="20" t="str">
        <f>IF(AND(C3&gt;='Campaign Metadata'!B$3,Posts!C3&lt;='Campaign Metadata'!C$3),"During","Before/After")</f>
        <v>Before/After</v>
      </c>
      <c r="V3" s="20" t="str">
        <f>IF(AND(C3&gt;='Campaign Metadata'!B$4,Posts!C3&lt;='Campaign Metadata'!C$4),"During","Before/After")</f>
        <v>During</v>
      </c>
      <c r="W3" s="50" t="str">
        <f>IF(AND(C3&gt;='Campaign Metadata'!B$5,Posts!C3&lt;='Campaign Metadata'!C$5),"During","Before/After")</f>
        <v>Before/After</v>
      </c>
    </row>
    <row r="4" spans="1:23" x14ac:dyDescent="0.25">
      <c r="A4" s="49" t="s">
        <v>346</v>
      </c>
      <c r="B4" s="92" t="s">
        <v>24</v>
      </c>
      <c r="C4" s="35" t="s">
        <v>89</v>
      </c>
      <c r="D4" s="17" t="s">
        <v>20</v>
      </c>
      <c r="E4" s="17" t="s">
        <v>100</v>
      </c>
      <c r="F4" s="18">
        <v>4934</v>
      </c>
      <c r="G4" s="18">
        <v>971</v>
      </c>
      <c r="H4" s="18">
        <v>156</v>
      </c>
      <c r="I4" s="18">
        <v>39472</v>
      </c>
      <c r="J4" s="18">
        <f t="shared" si="0"/>
        <v>5905.0039521686258</v>
      </c>
      <c r="K4" s="18">
        <f t="shared" si="1"/>
        <v>6061</v>
      </c>
      <c r="L4" s="18">
        <v>39025</v>
      </c>
      <c r="M4" s="18">
        <v>169</v>
      </c>
      <c r="N4" s="19" t="s">
        <v>27</v>
      </c>
      <c r="O4" s="20" t="s">
        <v>597</v>
      </c>
      <c r="P4" s="20"/>
      <c r="Q4" s="20"/>
      <c r="R4" s="20">
        <f>COUNTIF(N:P,"#LiveForNow")</f>
        <v>103</v>
      </c>
      <c r="S4" s="22" t="s">
        <v>35</v>
      </c>
      <c r="T4" s="20" t="str">
        <f>IF(AND(C4&gt;='Campaign Metadata'!B$2,Posts!C4&lt;='Campaign Metadata'!C$2),"During","Before/After")</f>
        <v>Before/After</v>
      </c>
      <c r="U4" s="20" t="str">
        <f>IF(AND(C4&gt;='Campaign Metadata'!B$3,Posts!C4&lt;='Campaign Metadata'!C$3),"During","Before/After")</f>
        <v>Before/After</v>
      </c>
      <c r="V4" s="20" t="str">
        <f>IF(AND(C4&gt;='Campaign Metadata'!B$4,Posts!C4&lt;='Campaign Metadata'!C$4),"During","Before/After")</f>
        <v>Before/After</v>
      </c>
      <c r="W4" s="50" t="str">
        <f>IF(AND(C4&gt;='Campaign Metadata'!B$5,Posts!C4&lt;='Campaign Metadata'!C$5),"During","Before/After")</f>
        <v>Before/After</v>
      </c>
    </row>
    <row r="5" spans="1:23" x14ac:dyDescent="0.25">
      <c r="A5" s="49" t="s">
        <v>491</v>
      </c>
      <c r="B5" s="92" t="s">
        <v>30</v>
      </c>
      <c r="C5" s="35" t="s">
        <v>492</v>
      </c>
      <c r="D5" s="17" t="s">
        <v>49</v>
      </c>
      <c r="E5" s="17" t="s">
        <v>209</v>
      </c>
      <c r="F5" s="18">
        <v>4853</v>
      </c>
      <c r="G5" s="18">
        <v>837</v>
      </c>
      <c r="H5" s="18">
        <v>340</v>
      </c>
      <c r="I5" s="18">
        <v>72795</v>
      </c>
      <c r="J5" s="18">
        <f t="shared" si="0"/>
        <v>5690.0046706504563</v>
      </c>
      <c r="K5" s="18">
        <f t="shared" si="1"/>
        <v>6030</v>
      </c>
      <c r="L5" s="18">
        <v>72237</v>
      </c>
      <c r="M5" s="18">
        <v>170</v>
      </c>
      <c r="N5" s="19" t="s">
        <v>34</v>
      </c>
      <c r="O5" s="20"/>
      <c r="P5" s="20"/>
      <c r="Q5" s="20" t="s">
        <v>597</v>
      </c>
      <c r="R5" s="20">
        <f>COUNTIF(N:P,"#AnytimeIsPepsiTime")</f>
        <v>15</v>
      </c>
      <c r="S5" s="21" t="s">
        <v>17</v>
      </c>
      <c r="T5" s="20" t="str">
        <f>IF(AND(C5&gt;='Campaign Metadata'!B$2,Posts!C5&lt;='Campaign Metadata'!C$2),"During","Before/After")</f>
        <v>Before/After</v>
      </c>
      <c r="U5" s="20" t="str">
        <f>IF(AND(C5&gt;='Campaign Metadata'!B$3,Posts!C5&lt;='Campaign Metadata'!C$3),"During","Before/After")</f>
        <v>Before/After</v>
      </c>
      <c r="V5" s="20" t="str">
        <f>IF(AND(C5&gt;='Campaign Metadata'!B$4,Posts!C5&lt;='Campaign Metadata'!C$4),"During","Before/After")</f>
        <v>During</v>
      </c>
      <c r="W5" s="50" t="str">
        <f>IF(AND(C5&gt;='Campaign Metadata'!B$5,Posts!C5&lt;='Campaign Metadata'!C$5),"During","Before/After")</f>
        <v>Before/After</v>
      </c>
    </row>
    <row r="6" spans="1:23" x14ac:dyDescent="0.25">
      <c r="A6" s="49" t="s">
        <v>465</v>
      </c>
      <c r="B6" s="92" t="s">
        <v>24</v>
      </c>
      <c r="C6" s="35" t="s">
        <v>466</v>
      </c>
      <c r="D6" s="17" t="s">
        <v>71</v>
      </c>
      <c r="E6" s="17" t="s">
        <v>212</v>
      </c>
      <c r="F6" s="18">
        <v>4661</v>
      </c>
      <c r="G6" s="18">
        <v>935</v>
      </c>
      <c r="H6" s="18">
        <v>433</v>
      </c>
      <c r="I6" s="18">
        <v>23305</v>
      </c>
      <c r="J6" s="18">
        <f t="shared" si="0"/>
        <v>5596.0185797039258</v>
      </c>
      <c r="K6" s="18">
        <f t="shared" si="1"/>
        <v>6029</v>
      </c>
      <c r="L6" s="18">
        <v>22583</v>
      </c>
      <c r="M6" s="18">
        <v>63</v>
      </c>
      <c r="N6" s="19" t="s">
        <v>59</v>
      </c>
      <c r="O6" s="20"/>
      <c r="P6" s="20"/>
      <c r="Q6" s="20" t="s">
        <v>27</v>
      </c>
      <c r="R6" s="20">
        <f>COUNTIF(N:P,"#PepsiCoRefresh")</f>
        <v>107</v>
      </c>
      <c r="S6" s="22" t="s">
        <v>28</v>
      </c>
      <c r="T6" s="20" t="str">
        <f>IF(AND(C6&gt;='Campaign Metadata'!B$2,Posts!C6&lt;='Campaign Metadata'!C$2),"During","Before/After")</f>
        <v>Before/After</v>
      </c>
      <c r="U6" s="20" t="str">
        <f>IF(AND(C6&gt;='Campaign Metadata'!B$3,Posts!C6&lt;='Campaign Metadata'!C$3),"During","Before/After")</f>
        <v>Before/After</v>
      </c>
      <c r="V6" s="20" t="str">
        <f>IF(AND(C6&gt;='Campaign Metadata'!B$4,Posts!C6&lt;='Campaign Metadata'!C$4),"During","Before/After")</f>
        <v>During</v>
      </c>
      <c r="W6" s="50" t="str">
        <f>IF(AND(C6&gt;='Campaign Metadata'!B$5,Posts!C6&lt;='Campaign Metadata'!C$5),"During","Before/After")</f>
        <v>Before/After</v>
      </c>
    </row>
    <row r="7" spans="1:23" x14ac:dyDescent="0.25">
      <c r="A7" s="49" t="s">
        <v>425</v>
      </c>
      <c r="B7" s="92" t="s">
        <v>40</v>
      </c>
      <c r="C7" s="35" t="s">
        <v>426</v>
      </c>
      <c r="D7" s="17" t="s">
        <v>49</v>
      </c>
      <c r="E7" s="17" t="s">
        <v>56</v>
      </c>
      <c r="F7" s="18">
        <v>4872</v>
      </c>
      <c r="G7" s="18">
        <v>925</v>
      </c>
      <c r="H7" s="18">
        <v>176</v>
      </c>
      <c r="I7" s="18">
        <v>82824</v>
      </c>
      <c r="J7" s="18">
        <f t="shared" si="0"/>
        <v>5797.0021249879264</v>
      </c>
      <c r="K7" s="18">
        <f t="shared" si="1"/>
        <v>5973</v>
      </c>
      <c r="L7" s="18">
        <v>82543</v>
      </c>
      <c r="M7" s="18">
        <v>89</v>
      </c>
      <c r="N7" s="19" t="s">
        <v>34</v>
      </c>
      <c r="O7" s="20"/>
      <c r="P7" s="20"/>
      <c r="Q7" s="20" t="s">
        <v>34</v>
      </c>
      <c r="R7" s="20">
        <f>COUNTIF(N:P,"#ThirstyForMore")</f>
        <v>102</v>
      </c>
      <c r="S7" s="22" t="s">
        <v>22</v>
      </c>
      <c r="T7" s="20" t="str">
        <f>IF(AND(C7&gt;='Campaign Metadata'!B$2,Posts!C7&lt;='Campaign Metadata'!C$2),"During","Before/After")</f>
        <v>Before/After</v>
      </c>
      <c r="U7" s="20" t="str">
        <f>IF(AND(C7&gt;='Campaign Metadata'!B$3,Posts!C7&lt;='Campaign Metadata'!C$3),"During","Before/After")</f>
        <v>Before/After</v>
      </c>
      <c r="V7" s="20" t="str">
        <f>IF(AND(C7&gt;='Campaign Metadata'!B$4,Posts!C7&lt;='Campaign Metadata'!C$4),"During","Before/After")</f>
        <v>Before/After</v>
      </c>
      <c r="W7" s="50" t="str">
        <f>IF(AND(C7&gt;='Campaign Metadata'!B$5,Posts!C7&lt;='Campaign Metadata'!C$5),"During","Before/After")</f>
        <v>Before/After</v>
      </c>
    </row>
    <row r="8" spans="1:23" x14ac:dyDescent="0.25">
      <c r="A8" s="49" t="s">
        <v>252</v>
      </c>
      <c r="B8" s="92" t="s">
        <v>30</v>
      </c>
      <c r="C8" s="35" t="s">
        <v>253</v>
      </c>
      <c r="D8" s="17" t="s">
        <v>49</v>
      </c>
      <c r="E8" s="17" t="s">
        <v>209</v>
      </c>
      <c r="F8" s="18">
        <v>4619</v>
      </c>
      <c r="G8" s="18">
        <v>821</v>
      </c>
      <c r="H8" s="18">
        <v>499</v>
      </c>
      <c r="I8" s="18">
        <v>69285</v>
      </c>
      <c r="J8" s="18">
        <f t="shared" si="0"/>
        <v>5440.0072021361048</v>
      </c>
      <c r="K8" s="18">
        <f t="shared" si="1"/>
        <v>5939</v>
      </c>
      <c r="L8" s="18">
        <v>69141</v>
      </c>
      <c r="M8" s="18">
        <v>298</v>
      </c>
      <c r="N8" s="19" t="s">
        <v>27</v>
      </c>
      <c r="O8" s="20"/>
      <c r="P8" s="20"/>
      <c r="Q8" s="20" t="s">
        <v>598</v>
      </c>
      <c r="R8" s="20">
        <f>COUNTIF(N:P,"#BetterWithPepsi")</f>
        <v>7</v>
      </c>
      <c r="S8" s="22" t="s">
        <v>35</v>
      </c>
      <c r="T8" s="20" t="str">
        <f>IF(AND(C8&gt;='Campaign Metadata'!B$2,Posts!C8&lt;='Campaign Metadata'!C$2),"During","Before/After")</f>
        <v>Before/After</v>
      </c>
      <c r="U8" s="20" t="str">
        <f>IF(AND(C8&gt;='Campaign Metadata'!B$3,Posts!C8&lt;='Campaign Metadata'!C$3),"During","Before/After")</f>
        <v>Before/After</v>
      </c>
      <c r="V8" s="20" t="str">
        <f>IF(AND(C8&gt;='Campaign Metadata'!B$4,Posts!C8&lt;='Campaign Metadata'!C$4),"During","Before/After")</f>
        <v>Before/After</v>
      </c>
      <c r="W8" s="50" t="str">
        <f>IF(AND(C8&gt;='Campaign Metadata'!B$5,Posts!C8&lt;='Campaign Metadata'!C$5),"During","Before/After")</f>
        <v>Before/After</v>
      </c>
    </row>
    <row r="9" spans="1:23" x14ac:dyDescent="0.25">
      <c r="A9" s="49" t="s">
        <v>340</v>
      </c>
      <c r="B9" s="92" t="s">
        <v>13</v>
      </c>
      <c r="C9" s="35" t="s">
        <v>341</v>
      </c>
      <c r="D9" s="17" t="s">
        <v>20</v>
      </c>
      <c r="E9" s="17" t="s">
        <v>21</v>
      </c>
      <c r="F9" s="18">
        <v>4671</v>
      </c>
      <c r="G9" s="18">
        <v>876</v>
      </c>
      <c r="H9" s="18">
        <v>366</v>
      </c>
      <c r="I9" s="18">
        <v>51381</v>
      </c>
      <c r="J9" s="18">
        <f t="shared" si="0"/>
        <v>5547.0071232556784</v>
      </c>
      <c r="K9" s="18">
        <f t="shared" si="1"/>
        <v>5913</v>
      </c>
      <c r="L9" s="18">
        <v>50565</v>
      </c>
      <c r="M9" s="18">
        <v>245</v>
      </c>
      <c r="N9" s="19" t="s">
        <v>27</v>
      </c>
      <c r="O9" s="20"/>
      <c r="P9" s="20"/>
      <c r="Q9" s="20" t="s">
        <v>592</v>
      </c>
      <c r="R9" s="20">
        <f>COUNTIF(N:P,"#SmoothLikeNitroPepsi")</f>
        <v>5</v>
      </c>
      <c r="S9" s="22" t="s">
        <v>35</v>
      </c>
      <c r="T9" s="20" t="str">
        <f>IF(AND(C9&gt;='Campaign Metadata'!B$2,Posts!C9&lt;='Campaign Metadata'!C$2),"During","Before/After")</f>
        <v>Before/After</v>
      </c>
      <c r="U9" s="20" t="str">
        <f>IF(AND(C9&gt;='Campaign Metadata'!B$3,Posts!C9&lt;='Campaign Metadata'!C$3),"During","Before/After")</f>
        <v>Before/After</v>
      </c>
      <c r="V9" s="20" t="str">
        <f>IF(AND(C9&gt;='Campaign Metadata'!B$4,Posts!C9&lt;='Campaign Metadata'!C$4),"During","Before/After")</f>
        <v>Before/After</v>
      </c>
      <c r="W9" s="50" t="str">
        <f>IF(AND(C9&gt;='Campaign Metadata'!B$5,Posts!C9&lt;='Campaign Metadata'!C$5),"During","Before/After")</f>
        <v>Before/After</v>
      </c>
    </row>
    <row r="10" spans="1:23" x14ac:dyDescent="0.25">
      <c r="A10" s="49" t="s">
        <v>443</v>
      </c>
      <c r="B10" s="92" t="s">
        <v>30</v>
      </c>
      <c r="C10" s="35" t="s">
        <v>444</v>
      </c>
      <c r="D10" s="17" t="s">
        <v>32</v>
      </c>
      <c r="E10" s="17" t="s">
        <v>33</v>
      </c>
      <c r="F10" s="18">
        <v>4808</v>
      </c>
      <c r="G10" s="18">
        <v>772</v>
      </c>
      <c r="H10" s="18">
        <v>320</v>
      </c>
      <c r="I10" s="18">
        <v>72120</v>
      </c>
      <c r="J10" s="18">
        <f t="shared" si="0"/>
        <v>5580.0044370493624</v>
      </c>
      <c r="K10" s="18">
        <f t="shared" si="1"/>
        <v>5900</v>
      </c>
      <c r="L10" s="18">
        <v>71696</v>
      </c>
      <c r="M10" s="18">
        <v>195</v>
      </c>
      <c r="N10" s="19" t="s">
        <v>34</v>
      </c>
      <c r="O10" s="20"/>
      <c r="P10" s="20"/>
      <c r="Q10" s="20"/>
      <c r="R10" s="20"/>
      <c r="S10" s="21" t="s">
        <v>17</v>
      </c>
      <c r="T10" s="20" t="str">
        <f>IF(AND(C10&gt;='Campaign Metadata'!B$2,Posts!C10&lt;='Campaign Metadata'!C$2),"During","Before/After")</f>
        <v>During</v>
      </c>
      <c r="U10" s="20" t="str">
        <f>IF(AND(C10&gt;='Campaign Metadata'!B$3,Posts!C10&lt;='Campaign Metadata'!C$3),"During","Before/After")</f>
        <v>Before/After</v>
      </c>
      <c r="V10" s="20" t="str">
        <f>IF(AND(C10&gt;='Campaign Metadata'!B$4,Posts!C10&lt;='Campaign Metadata'!C$4),"During","Before/After")</f>
        <v>Before/After</v>
      </c>
      <c r="W10" s="50" t="str">
        <f>IF(AND(C10&gt;='Campaign Metadata'!B$5,Posts!C10&lt;='Campaign Metadata'!C$5),"During","Before/After")</f>
        <v>Before/After</v>
      </c>
    </row>
    <row r="11" spans="1:23" x14ac:dyDescent="0.25">
      <c r="A11" s="49" t="s">
        <v>519</v>
      </c>
      <c r="B11" s="92" t="s">
        <v>24</v>
      </c>
      <c r="C11" s="35" t="s">
        <v>189</v>
      </c>
      <c r="D11" s="17" t="s">
        <v>49</v>
      </c>
      <c r="E11" s="17" t="s">
        <v>50</v>
      </c>
      <c r="F11" s="18">
        <v>4905</v>
      </c>
      <c r="G11" s="18">
        <v>845</v>
      </c>
      <c r="H11" s="18">
        <v>129</v>
      </c>
      <c r="I11" s="18">
        <v>98100</v>
      </c>
      <c r="J11" s="18">
        <f t="shared" si="0"/>
        <v>5750.0013149847091</v>
      </c>
      <c r="K11" s="18">
        <f t="shared" si="1"/>
        <v>5879</v>
      </c>
      <c r="L11" s="18">
        <v>97772</v>
      </c>
      <c r="M11" s="18">
        <v>279</v>
      </c>
      <c r="N11" s="19" t="s">
        <v>27</v>
      </c>
      <c r="O11" s="20"/>
      <c r="P11" s="20"/>
      <c r="Q11" s="20"/>
      <c r="R11" s="20"/>
      <c r="S11" s="22" t="s">
        <v>22</v>
      </c>
      <c r="T11" s="20" t="str">
        <f>IF(AND(C11&gt;='Campaign Metadata'!B$2,Posts!C11&lt;='Campaign Metadata'!C$2),"During","Before/After")</f>
        <v>Before/After</v>
      </c>
      <c r="U11" s="20" t="str">
        <f>IF(AND(C11&gt;='Campaign Metadata'!B$3,Posts!C11&lt;='Campaign Metadata'!C$3),"During","Before/After")</f>
        <v>Before/After</v>
      </c>
      <c r="V11" s="20" t="str">
        <f>IF(AND(C11&gt;='Campaign Metadata'!B$4,Posts!C11&lt;='Campaign Metadata'!C$4),"During","Before/After")</f>
        <v>Before/After</v>
      </c>
      <c r="W11" s="50" t="str">
        <f>IF(AND(C11&gt;='Campaign Metadata'!B$5,Posts!C11&lt;='Campaign Metadata'!C$5),"During","Before/After")</f>
        <v>Before/After</v>
      </c>
    </row>
    <row r="12" spans="1:23" x14ac:dyDescent="0.25">
      <c r="A12" s="49" t="s">
        <v>532</v>
      </c>
      <c r="B12" s="92" t="s">
        <v>24</v>
      </c>
      <c r="C12" s="35" t="s">
        <v>533</v>
      </c>
      <c r="D12" s="17" t="s">
        <v>42</v>
      </c>
      <c r="E12" s="17" t="s">
        <v>65</v>
      </c>
      <c r="F12" s="18">
        <v>4780</v>
      </c>
      <c r="G12" s="18">
        <v>691</v>
      </c>
      <c r="H12" s="18">
        <v>380</v>
      </c>
      <c r="I12" s="18">
        <v>86040</v>
      </c>
      <c r="J12" s="18">
        <f t="shared" si="0"/>
        <v>5471.0044165504414</v>
      </c>
      <c r="K12" s="18">
        <f t="shared" si="1"/>
        <v>5851</v>
      </c>
      <c r="L12" s="18">
        <v>85743</v>
      </c>
      <c r="M12" s="18">
        <v>262</v>
      </c>
      <c r="N12" s="19" t="s">
        <v>59</v>
      </c>
      <c r="O12" s="20"/>
      <c r="P12" s="20"/>
      <c r="Q12" s="20"/>
      <c r="R12" s="20"/>
      <c r="S12" s="22" t="s">
        <v>28</v>
      </c>
      <c r="T12" s="20" t="str">
        <f>IF(AND(C12&gt;='Campaign Metadata'!B$2,Posts!C12&lt;='Campaign Metadata'!C$2),"During","Before/After")</f>
        <v>Before/After</v>
      </c>
      <c r="U12" s="20" t="str">
        <f>IF(AND(C12&gt;='Campaign Metadata'!B$3,Posts!C12&lt;='Campaign Metadata'!C$3),"During","Before/After")</f>
        <v>Before/After</v>
      </c>
      <c r="V12" s="20" t="str">
        <f>IF(AND(C12&gt;='Campaign Metadata'!B$4,Posts!C12&lt;='Campaign Metadata'!C$4),"During","Before/After")</f>
        <v>Before/After</v>
      </c>
      <c r="W12" s="50" t="str">
        <f>IF(AND(C12&gt;='Campaign Metadata'!B$5,Posts!C12&lt;='Campaign Metadata'!C$5),"During","Before/After")</f>
        <v>Before/After</v>
      </c>
    </row>
    <row r="13" spans="1:23" x14ac:dyDescent="0.25">
      <c r="A13" s="49" t="s">
        <v>445</v>
      </c>
      <c r="B13" s="92" t="s">
        <v>30</v>
      </c>
      <c r="C13" s="35" t="s">
        <v>149</v>
      </c>
      <c r="D13" s="17" t="s">
        <v>42</v>
      </c>
      <c r="E13" s="17" t="s">
        <v>85</v>
      </c>
      <c r="F13" s="18">
        <v>4799</v>
      </c>
      <c r="G13" s="18">
        <v>694</v>
      </c>
      <c r="H13" s="18">
        <v>289</v>
      </c>
      <c r="I13" s="18">
        <v>43191</v>
      </c>
      <c r="J13" s="18">
        <f t="shared" si="0"/>
        <v>5493.0066912088168</v>
      </c>
      <c r="K13" s="18">
        <f t="shared" si="1"/>
        <v>5782</v>
      </c>
      <c r="L13" s="18">
        <v>42228</v>
      </c>
      <c r="M13" s="18">
        <v>118</v>
      </c>
      <c r="N13" s="19" t="s">
        <v>27</v>
      </c>
      <c r="O13" s="20"/>
      <c r="P13" s="20"/>
      <c r="Q13" s="20"/>
      <c r="R13" s="20"/>
      <c r="S13" s="22"/>
      <c r="T13" s="20" t="str">
        <f>IF(AND(C13&gt;='Campaign Metadata'!B$2,Posts!C13&lt;='Campaign Metadata'!C$2),"During","Before/After")</f>
        <v>During</v>
      </c>
      <c r="U13" s="20" t="str">
        <f>IF(AND(C13&gt;='Campaign Metadata'!B$3,Posts!C13&lt;='Campaign Metadata'!C$3),"During","Before/After")</f>
        <v>Before/After</v>
      </c>
      <c r="V13" s="20" t="str">
        <f>IF(AND(C13&gt;='Campaign Metadata'!B$4,Posts!C13&lt;='Campaign Metadata'!C$4),"During","Before/After")</f>
        <v>Before/After</v>
      </c>
      <c r="W13" s="50" t="str">
        <f>IF(AND(C13&gt;='Campaign Metadata'!B$5,Posts!C13&lt;='Campaign Metadata'!C$5),"During","Before/After")</f>
        <v>Before/After</v>
      </c>
    </row>
    <row r="14" spans="1:23" x14ac:dyDescent="0.25">
      <c r="A14" s="49" t="s">
        <v>428</v>
      </c>
      <c r="B14" s="92" t="s">
        <v>40</v>
      </c>
      <c r="C14" s="35" t="s">
        <v>353</v>
      </c>
      <c r="D14" s="17" t="s">
        <v>49</v>
      </c>
      <c r="E14" s="17" t="s">
        <v>56</v>
      </c>
      <c r="F14" s="18">
        <v>4606</v>
      </c>
      <c r="G14" s="18">
        <v>931</v>
      </c>
      <c r="H14" s="18">
        <v>230</v>
      </c>
      <c r="I14" s="18">
        <v>92120</v>
      </c>
      <c r="J14" s="18">
        <f t="shared" si="0"/>
        <v>5537.0024967433783</v>
      </c>
      <c r="K14" s="18">
        <f t="shared" si="1"/>
        <v>5767</v>
      </c>
      <c r="L14" s="18">
        <v>91440</v>
      </c>
      <c r="M14" s="18">
        <v>56</v>
      </c>
      <c r="N14" s="19" t="s">
        <v>27</v>
      </c>
      <c r="O14" s="20"/>
      <c r="P14" s="20"/>
      <c r="Q14" s="20"/>
      <c r="R14" s="20"/>
      <c r="S14" s="22"/>
      <c r="T14" s="20" t="str">
        <f>IF(AND(C14&gt;='Campaign Metadata'!B$2,Posts!C14&lt;='Campaign Metadata'!C$2),"During","Before/After")</f>
        <v>Before/After</v>
      </c>
      <c r="U14" s="20" t="str">
        <f>IF(AND(C14&gt;='Campaign Metadata'!B$3,Posts!C14&lt;='Campaign Metadata'!C$3),"During","Before/After")</f>
        <v>Before/After</v>
      </c>
      <c r="V14" s="20" t="str">
        <f>IF(AND(C14&gt;='Campaign Metadata'!B$4,Posts!C14&lt;='Campaign Metadata'!C$4),"During","Before/After")</f>
        <v>Before/After</v>
      </c>
      <c r="W14" s="50" t="str">
        <f>IF(AND(C14&gt;='Campaign Metadata'!B$5,Posts!C14&lt;='Campaign Metadata'!C$5),"During","Before/After")</f>
        <v>Before/After</v>
      </c>
    </row>
    <row r="15" spans="1:23" x14ac:dyDescent="0.25">
      <c r="A15" s="49" t="s">
        <v>254</v>
      </c>
      <c r="B15" s="92" t="s">
        <v>24</v>
      </c>
      <c r="C15" s="35" t="s">
        <v>255</v>
      </c>
      <c r="D15" s="17" t="s">
        <v>49</v>
      </c>
      <c r="E15" s="17" t="s">
        <v>50</v>
      </c>
      <c r="F15" s="18">
        <v>4832</v>
      </c>
      <c r="G15" s="18">
        <v>893</v>
      </c>
      <c r="H15" s="18">
        <v>10</v>
      </c>
      <c r="I15" s="18">
        <v>91808</v>
      </c>
      <c r="J15" s="18">
        <f t="shared" si="0"/>
        <v>5725.00010892297</v>
      </c>
      <c r="K15" s="18">
        <f t="shared" si="1"/>
        <v>5735</v>
      </c>
      <c r="L15" s="18">
        <v>91296</v>
      </c>
      <c r="M15" s="18">
        <v>182</v>
      </c>
      <c r="N15" s="19" t="s">
        <v>27</v>
      </c>
      <c r="O15" s="20"/>
      <c r="P15" s="20"/>
      <c r="Q15" s="20"/>
      <c r="R15" s="20"/>
      <c r="S15" s="22"/>
      <c r="T15" s="20" t="str">
        <f>IF(AND(C15&gt;='Campaign Metadata'!B$2,Posts!C15&lt;='Campaign Metadata'!C$2),"During","Before/After")</f>
        <v>During</v>
      </c>
      <c r="U15" s="20" t="str">
        <f>IF(AND(C15&gt;='Campaign Metadata'!B$3,Posts!C15&lt;='Campaign Metadata'!C$3),"During","Before/After")</f>
        <v>Before/After</v>
      </c>
      <c r="V15" s="20" t="str">
        <f>IF(AND(C15&gt;='Campaign Metadata'!B$4,Posts!C15&lt;='Campaign Metadata'!C$4),"During","Before/After")</f>
        <v>Before/After</v>
      </c>
      <c r="W15" s="50" t="str">
        <f>IF(AND(C15&gt;='Campaign Metadata'!B$5,Posts!C15&lt;='Campaign Metadata'!C$5),"During","Before/After")</f>
        <v>Before/After</v>
      </c>
    </row>
    <row r="16" spans="1:23" x14ac:dyDescent="0.25">
      <c r="A16" s="49" t="s">
        <v>293</v>
      </c>
      <c r="B16" s="92" t="s">
        <v>30</v>
      </c>
      <c r="C16" s="35" t="s">
        <v>163</v>
      </c>
      <c r="D16" s="17" t="s">
        <v>15</v>
      </c>
      <c r="E16" s="17" t="s">
        <v>79</v>
      </c>
      <c r="F16" s="18">
        <v>4840</v>
      </c>
      <c r="G16" s="18">
        <v>658</v>
      </c>
      <c r="H16" s="18">
        <v>211</v>
      </c>
      <c r="I16" s="18">
        <v>43560</v>
      </c>
      <c r="J16" s="18">
        <f t="shared" si="0"/>
        <v>5498.00484389348</v>
      </c>
      <c r="K16" s="18">
        <f t="shared" si="1"/>
        <v>5709</v>
      </c>
      <c r="L16" s="18">
        <v>43225</v>
      </c>
      <c r="M16" s="18">
        <v>57</v>
      </c>
      <c r="N16" s="19" t="s">
        <v>59</v>
      </c>
      <c r="O16" s="20"/>
      <c r="P16" s="20"/>
      <c r="Q16" s="20"/>
      <c r="R16" s="20"/>
      <c r="S16" s="22" t="s">
        <v>28</v>
      </c>
      <c r="T16" s="20" t="str">
        <f>IF(AND(C16&gt;='Campaign Metadata'!B$2,Posts!C16&lt;='Campaign Metadata'!C$2),"During","Before/After")</f>
        <v>Before/After</v>
      </c>
      <c r="U16" s="20" t="str">
        <f>IF(AND(C16&gt;='Campaign Metadata'!B$3,Posts!C16&lt;='Campaign Metadata'!C$3),"During","Before/After")</f>
        <v>Before/After</v>
      </c>
      <c r="V16" s="20" t="str">
        <f>IF(AND(C16&gt;='Campaign Metadata'!B$4,Posts!C16&lt;='Campaign Metadata'!C$4),"During","Before/After")</f>
        <v>During</v>
      </c>
      <c r="W16" s="50" t="str">
        <f>IF(AND(C16&gt;='Campaign Metadata'!B$5,Posts!C16&lt;='Campaign Metadata'!C$5),"During","Before/After")</f>
        <v>Before/After</v>
      </c>
    </row>
    <row r="17" spans="1:23" x14ac:dyDescent="0.25">
      <c r="A17" s="49" t="s">
        <v>349</v>
      </c>
      <c r="B17" s="92" t="s">
        <v>30</v>
      </c>
      <c r="C17" s="35" t="s">
        <v>300</v>
      </c>
      <c r="D17" s="17" t="s">
        <v>20</v>
      </c>
      <c r="E17" s="17" t="s">
        <v>109</v>
      </c>
      <c r="F17" s="18">
        <v>4771</v>
      </c>
      <c r="G17" s="18">
        <v>818</v>
      </c>
      <c r="H17" s="18">
        <v>56</v>
      </c>
      <c r="I17" s="18">
        <v>57252</v>
      </c>
      <c r="J17" s="18">
        <f t="shared" si="0"/>
        <v>5589.0009781317685</v>
      </c>
      <c r="K17" s="18">
        <f t="shared" si="1"/>
        <v>5645</v>
      </c>
      <c r="L17" s="18">
        <v>56378</v>
      </c>
      <c r="M17" s="18">
        <v>150</v>
      </c>
      <c r="N17" s="19" t="s">
        <v>59</v>
      </c>
      <c r="O17" s="20"/>
      <c r="P17" s="20"/>
      <c r="Q17" s="20"/>
      <c r="R17" s="20"/>
      <c r="S17" s="22"/>
      <c r="T17" s="20" t="str">
        <f>IF(AND(C17&gt;='Campaign Metadata'!B$2,Posts!C17&lt;='Campaign Metadata'!C$2),"During","Before/After")</f>
        <v>Before/After</v>
      </c>
      <c r="U17" s="20" t="str">
        <f>IF(AND(C17&gt;='Campaign Metadata'!B$3,Posts!C17&lt;='Campaign Metadata'!C$3),"During","Before/After")</f>
        <v>Before/After</v>
      </c>
      <c r="V17" s="20" t="str">
        <f>IF(AND(C17&gt;='Campaign Metadata'!B$4,Posts!C17&lt;='Campaign Metadata'!C$4),"During","Before/After")</f>
        <v>Before/After</v>
      </c>
      <c r="W17" s="50" t="str">
        <f>IF(AND(C17&gt;='Campaign Metadata'!B$5,Posts!C17&lt;='Campaign Metadata'!C$5),"During","Before/After")</f>
        <v>Before/After</v>
      </c>
    </row>
    <row r="18" spans="1:23" x14ac:dyDescent="0.25">
      <c r="A18" s="49" t="s">
        <v>324</v>
      </c>
      <c r="B18" s="92" t="s">
        <v>40</v>
      </c>
      <c r="C18" s="35" t="s">
        <v>325</v>
      </c>
      <c r="D18" s="17" t="s">
        <v>49</v>
      </c>
      <c r="E18" s="17" t="s">
        <v>56</v>
      </c>
      <c r="F18" s="18">
        <v>4804</v>
      </c>
      <c r="G18" s="18">
        <v>550</v>
      </c>
      <c r="H18" s="18">
        <v>270</v>
      </c>
      <c r="I18" s="18">
        <v>28824</v>
      </c>
      <c r="J18" s="18">
        <f t="shared" si="0"/>
        <v>5354.0093671940049</v>
      </c>
      <c r="K18" s="18">
        <f t="shared" si="1"/>
        <v>5624</v>
      </c>
      <c r="L18" s="18">
        <v>28370</v>
      </c>
      <c r="M18" s="18">
        <v>47</v>
      </c>
      <c r="N18" s="19" t="s">
        <v>34</v>
      </c>
      <c r="O18" s="20"/>
      <c r="P18" s="20"/>
      <c r="Q18" s="20"/>
      <c r="R18" s="20"/>
      <c r="S18" s="22" t="s">
        <v>35</v>
      </c>
      <c r="T18" s="20" t="str">
        <f>IF(AND(C18&gt;='Campaign Metadata'!B$2,Posts!C18&lt;='Campaign Metadata'!C$2),"During","Before/After")</f>
        <v>Before/After</v>
      </c>
      <c r="U18" s="20" t="str">
        <f>IF(AND(C18&gt;='Campaign Metadata'!B$3,Posts!C18&lt;='Campaign Metadata'!C$3),"During","Before/After")</f>
        <v>Before/After</v>
      </c>
      <c r="V18" s="20" t="str">
        <f>IF(AND(C18&gt;='Campaign Metadata'!B$4,Posts!C18&lt;='Campaign Metadata'!C$4),"During","Before/After")</f>
        <v>Before/After</v>
      </c>
      <c r="W18" s="50" t="str">
        <f>IF(AND(C18&gt;='Campaign Metadata'!B$5,Posts!C18&lt;='Campaign Metadata'!C$5),"During","Before/After")</f>
        <v>Before/After</v>
      </c>
    </row>
    <row r="19" spans="1:23" x14ac:dyDescent="0.25">
      <c r="A19" s="49" t="s">
        <v>509</v>
      </c>
      <c r="B19" s="92" t="s">
        <v>30</v>
      </c>
      <c r="C19" s="35" t="s">
        <v>477</v>
      </c>
      <c r="D19" s="17" t="s">
        <v>20</v>
      </c>
      <c r="E19" s="17" t="s">
        <v>109</v>
      </c>
      <c r="F19" s="18">
        <v>4941</v>
      </c>
      <c r="G19" s="18">
        <v>414</v>
      </c>
      <c r="H19" s="18">
        <v>266</v>
      </c>
      <c r="I19" s="18">
        <v>39528</v>
      </c>
      <c r="J19" s="18">
        <f t="shared" si="0"/>
        <v>5355.0067294070022</v>
      </c>
      <c r="K19" s="18">
        <f t="shared" si="1"/>
        <v>5621</v>
      </c>
      <c r="L19" s="18">
        <v>39154</v>
      </c>
      <c r="M19" s="18">
        <v>217</v>
      </c>
      <c r="N19" s="19" t="s">
        <v>27</v>
      </c>
      <c r="O19" s="20"/>
      <c r="P19" s="20"/>
      <c r="Q19" s="20"/>
      <c r="R19" s="20"/>
      <c r="S19" s="22" t="s">
        <v>28</v>
      </c>
      <c r="T19" s="20" t="str">
        <f>IF(AND(C19&gt;='Campaign Metadata'!B$2,Posts!C19&lt;='Campaign Metadata'!C$2),"During","Before/After")</f>
        <v>Before/After</v>
      </c>
      <c r="U19" s="20" t="str">
        <f>IF(AND(C19&gt;='Campaign Metadata'!B$3,Posts!C19&lt;='Campaign Metadata'!C$3),"During","Before/After")</f>
        <v>During</v>
      </c>
      <c r="V19" s="20" t="str">
        <f>IF(AND(C19&gt;='Campaign Metadata'!B$4,Posts!C19&lt;='Campaign Metadata'!C$4),"During","Before/After")</f>
        <v>Before/After</v>
      </c>
      <c r="W19" s="50" t="str">
        <f>IF(AND(C19&gt;='Campaign Metadata'!B$5,Posts!C19&lt;='Campaign Metadata'!C$5),"During","Before/After")</f>
        <v>Before/After</v>
      </c>
    </row>
    <row r="20" spans="1:23" x14ac:dyDescent="0.25">
      <c r="A20" s="49" t="s">
        <v>86</v>
      </c>
      <c r="B20" s="92" t="s">
        <v>30</v>
      </c>
      <c r="C20" s="35" t="s">
        <v>87</v>
      </c>
      <c r="D20" s="17" t="s">
        <v>15</v>
      </c>
      <c r="E20" s="17" t="s">
        <v>79</v>
      </c>
      <c r="F20" s="18">
        <v>4838</v>
      </c>
      <c r="G20" s="18">
        <v>640</v>
      </c>
      <c r="H20" s="18">
        <v>128</v>
      </c>
      <c r="I20" s="18">
        <v>72570</v>
      </c>
      <c r="J20" s="18">
        <f t="shared" si="0"/>
        <v>5478.0017638142481</v>
      </c>
      <c r="K20" s="18">
        <f t="shared" si="1"/>
        <v>5606</v>
      </c>
      <c r="L20" s="18">
        <v>72396</v>
      </c>
      <c r="M20" s="18">
        <v>83</v>
      </c>
      <c r="N20" s="19" t="s">
        <v>59</v>
      </c>
      <c r="O20" s="20"/>
      <c r="P20" s="20"/>
      <c r="Q20" s="20"/>
      <c r="R20" s="20"/>
      <c r="S20" s="22" t="s">
        <v>35</v>
      </c>
      <c r="T20" s="20" t="str">
        <f>IF(AND(C20&gt;='Campaign Metadata'!B$2,Posts!C20&lt;='Campaign Metadata'!C$2),"During","Before/After")</f>
        <v>Before/After</v>
      </c>
      <c r="U20" s="20" t="str">
        <f>IF(AND(C20&gt;='Campaign Metadata'!B$3,Posts!C20&lt;='Campaign Metadata'!C$3),"During","Before/After")</f>
        <v>Before/After</v>
      </c>
      <c r="V20" s="20" t="str">
        <f>IF(AND(C20&gt;='Campaign Metadata'!B$4,Posts!C20&lt;='Campaign Metadata'!C$4),"During","Before/After")</f>
        <v>Before/After</v>
      </c>
      <c r="W20" s="50" t="str">
        <f>IF(AND(C20&gt;='Campaign Metadata'!B$5,Posts!C20&lt;='Campaign Metadata'!C$5),"During","Before/After")</f>
        <v>During</v>
      </c>
    </row>
    <row r="21" spans="1:23" x14ac:dyDescent="0.25">
      <c r="A21" s="49" t="s">
        <v>398</v>
      </c>
      <c r="B21" s="92" t="s">
        <v>13</v>
      </c>
      <c r="C21" s="35" t="s">
        <v>332</v>
      </c>
      <c r="D21" s="17" t="s">
        <v>15</v>
      </c>
      <c r="E21" s="17" t="s">
        <v>16</v>
      </c>
      <c r="F21" s="18">
        <v>4782</v>
      </c>
      <c r="G21" s="18">
        <v>721</v>
      </c>
      <c r="H21" s="18">
        <v>82</v>
      </c>
      <c r="I21" s="18">
        <v>86076</v>
      </c>
      <c r="J21" s="18">
        <f t="shared" si="0"/>
        <v>5503.0009526464983</v>
      </c>
      <c r="K21" s="18">
        <f t="shared" si="1"/>
        <v>5585</v>
      </c>
      <c r="L21" s="18">
        <v>85339</v>
      </c>
      <c r="M21" s="18">
        <v>19</v>
      </c>
      <c r="N21" s="19" t="s">
        <v>34</v>
      </c>
      <c r="O21" s="20"/>
      <c r="P21" s="20"/>
      <c r="Q21" s="20"/>
      <c r="R21" s="20"/>
      <c r="S21" s="21" t="s">
        <v>17</v>
      </c>
      <c r="T21" s="20" t="str">
        <f>IF(AND(C21&gt;='Campaign Metadata'!B$2,Posts!C21&lt;='Campaign Metadata'!C$2),"During","Before/After")</f>
        <v>Before/After</v>
      </c>
      <c r="U21" s="20" t="str">
        <f>IF(AND(C21&gt;='Campaign Metadata'!B$3,Posts!C21&lt;='Campaign Metadata'!C$3),"During","Before/After")</f>
        <v>Before/After</v>
      </c>
      <c r="V21" s="20" t="str">
        <f>IF(AND(C21&gt;='Campaign Metadata'!B$4,Posts!C21&lt;='Campaign Metadata'!C$4),"During","Before/After")</f>
        <v>During</v>
      </c>
      <c r="W21" s="50" t="str">
        <f>IF(AND(C21&gt;='Campaign Metadata'!B$5,Posts!C21&lt;='Campaign Metadata'!C$5),"During","Before/After")</f>
        <v>Before/After</v>
      </c>
    </row>
    <row r="22" spans="1:23" x14ac:dyDescent="0.25">
      <c r="A22" s="49" t="s">
        <v>243</v>
      </c>
      <c r="B22" s="92" t="s">
        <v>24</v>
      </c>
      <c r="C22" s="35" t="s">
        <v>193</v>
      </c>
      <c r="D22" s="17" t="s">
        <v>71</v>
      </c>
      <c r="E22" s="17" t="s">
        <v>212</v>
      </c>
      <c r="F22" s="18">
        <v>4450</v>
      </c>
      <c r="G22" s="18">
        <v>983</v>
      </c>
      <c r="H22" s="18">
        <v>143</v>
      </c>
      <c r="I22" s="18">
        <v>75650</v>
      </c>
      <c r="J22" s="18">
        <f t="shared" si="0"/>
        <v>5433.0018902842039</v>
      </c>
      <c r="K22" s="18">
        <f t="shared" si="1"/>
        <v>5576</v>
      </c>
      <c r="L22" s="18">
        <v>75008</v>
      </c>
      <c r="M22" s="18">
        <v>12</v>
      </c>
      <c r="N22" s="19" t="s">
        <v>59</v>
      </c>
      <c r="O22" s="20"/>
      <c r="P22" s="20"/>
      <c r="Q22" s="20"/>
      <c r="R22" s="20"/>
      <c r="S22" s="22" t="s">
        <v>28</v>
      </c>
      <c r="T22" s="20" t="str">
        <f>IF(AND(C22&gt;='Campaign Metadata'!B$2,Posts!C22&lt;='Campaign Metadata'!C$2),"During","Before/After")</f>
        <v>Before/After</v>
      </c>
      <c r="U22" s="20" t="str">
        <f>IF(AND(C22&gt;='Campaign Metadata'!B$3,Posts!C22&lt;='Campaign Metadata'!C$3),"During","Before/After")</f>
        <v>Before/After</v>
      </c>
      <c r="V22" s="20" t="str">
        <f>IF(AND(C22&gt;='Campaign Metadata'!B$4,Posts!C22&lt;='Campaign Metadata'!C$4),"During","Before/After")</f>
        <v>During</v>
      </c>
      <c r="W22" s="50" t="str">
        <f>IF(AND(C22&gt;='Campaign Metadata'!B$5,Posts!C22&lt;='Campaign Metadata'!C$5),"During","Before/After")</f>
        <v>Before/After</v>
      </c>
    </row>
    <row r="23" spans="1:23" x14ac:dyDescent="0.25">
      <c r="A23" s="49" t="s">
        <v>388</v>
      </c>
      <c r="B23" s="92" t="s">
        <v>24</v>
      </c>
      <c r="C23" s="35" t="s">
        <v>353</v>
      </c>
      <c r="D23" s="17" t="s">
        <v>32</v>
      </c>
      <c r="E23" s="17" t="s">
        <v>150</v>
      </c>
      <c r="F23" s="18">
        <v>4285</v>
      </c>
      <c r="G23" s="18">
        <v>886</v>
      </c>
      <c r="H23" s="18">
        <v>376</v>
      </c>
      <c r="I23" s="18">
        <v>55705</v>
      </c>
      <c r="J23" s="18">
        <f t="shared" si="0"/>
        <v>5171.0067498429225</v>
      </c>
      <c r="K23" s="18">
        <f t="shared" si="1"/>
        <v>5547</v>
      </c>
      <c r="L23" s="18">
        <v>55556</v>
      </c>
      <c r="M23" s="18">
        <v>51</v>
      </c>
      <c r="N23" s="19" t="s">
        <v>59</v>
      </c>
      <c r="O23" s="20"/>
      <c r="P23" s="20"/>
      <c r="Q23" s="20"/>
      <c r="R23" s="20"/>
      <c r="S23" s="22" t="s">
        <v>28</v>
      </c>
      <c r="T23" s="20" t="str">
        <f>IF(AND(C23&gt;='Campaign Metadata'!B$2,Posts!C23&lt;='Campaign Metadata'!C$2),"During","Before/After")</f>
        <v>Before/After</v>
      </c>
      <c r="U23" s="20" t="str">
        <f>IF(AND(C23&gt;='Campaign Metadata'!B$3,Posts!C23&lt;='Campaign Metadata'!C$3),"During","Before/After")</f>
        <v>Before/After</v>
      </c>
      <c r="V23" s="20" t="str">
        <f>IF(AND(C23&gt;='Campaign Metadata'!B$4,Posts!C23&lt;='Campaign Metadata'!C$4),"During","Before/After")</f>
        <v>Before/After</v>
      </c>
      <c r="W23" s="50" t="str">
        <f>IF(AND(C23&gt;='Campaign Metadata'!B$5,Posts!C23&lt;='Campaign Metadata'!C$5),"During","Before/After")</f>
        <v>Before/After</v>
      </c>
    </row>
    <row r="24" spans="1:23" x14ac:dyDescent="0.25">
      <c r="A24" s="49" t="s">
        <v>517</v>
      </c>
      <c r="B24" s="92" t="s">
        <v>13</v>
      </c>
      <c r="C24" s="35" t="s">
        <v>518</v>
      </c>
      <c r="D24" s="17" t="s">
        <v>20</v>
      </c>
      <c r="E24" s="17" t="s">
        <v>21</v>
      </c>
      <c r="F24" s="18">
        <v>4516</v>
      </c>
      <c r="G24" s="18">
        <v>836</v>
      </c>
      <c r="H24" s="18">
        <v>169</v>
      </c>
      <c r="I24" s="18">
        <v>49676</v>
      </c>
      <c r="J24" s="18">
        <f t="shared" si="0"/>
        <v>5352.0034020452531</v>
      </c>
      <c r="K24" s="18">
        <f t="shared" si="1"/>
        <v>5521</v>
      </c>
      <c r="L24" s="18">
        <v>49257</v>
      </c>
      <c r="M24" s="18">
        <v>282</v>
      </c>
      <c r="N24" s="19" t="s">
        <v>34</v>
      </c>
      <c r="O24" s="20"/>
      <c r="P24" s="20"/>
      <c r="Q24" s="20"/>
      <c r="R24" s="20"/>
      <c r="S24" s="22" t="s">
        <v>35</v>
      </c>
      <c r="T24" s="20" t="str">
        <f>IF(AND(C24&gt;='Campaign Metadata'!B$2,Posts!C24&lt;='Campaign Metadata'!C$2),"During","Before/After")</f>
        <v>Before/After</v>
      </c>
      <c r="U24" s="20" t="str">
        <f>IF(AND(C24&gt;='Campaign Metadata'!B$3,Posts!C24&lt;='Campaign Metadata'!C$3),"During","Before/After")</f>
        <v>Before/After</v>
      </c>
      <c r="V24" s="20" t="str">
        <f>IF(AND(C24&gt;='Campaign Metadata'!B$4,Posts!C24&lt;='Campaign Metadata'!C$4),"During","Before/After")</f>
        <v>Before/After</v>
      </c>
      <c r="W24" s="50" t="str">
        <f>IF(AND(C24&gt;='Campaign Metadata'!B$5,Posts!C24&lt;='Campaign Metadata'!C$5),"During","Before/After")</f>
        <v>Before/After</v>
      </c>
    </row>
    <row r="25" spans="1:23" x14ac:dyDescent="0.25">
      <c r="A25" s="49" t="s">
        <v>456</v>
      </c>
      <c r="B25" s="92" t="s">
        <v>13</v>
      </c>
      <c r="C25" s="35" t="s">
        <v>457</v>
      </c>
      <c r="D25" s="17" t="s">
        <v>20</v>
      </c>
      <c r="E25" s="17" t="s">
        <v>21</v>
      </c>
      <c r="F25" s="18">
        <v>4725</v>
      </c>
      <c r="G25" s="18">
        <v>400</v>
      </c>
      <c r="H25" s="18">
        <v>362</v>
      </c>
      <c r="I25" s="18">
        <v>75600</v>
      </c>
      <c r="J25" s="18">
        <f t="shared" si="0"/>
        <v>5125.0047883597881</v>
      </c>
      <c r="K25" s="18">
        <f t="shared" si="1"/>
        <v>5487</v>
      </c>
      <c r="L25" s="18">
        <v>74927</v>
      </c>
      <c r="M25" s="18">
        <v>43</v>
      </c>
      <c r="N25" s="19" t="s">
        <v>59</v>
      </c>
      <c r="O25" s="20"/>
      <c r="P25" s="20"/>
      <c r="Q25" s="20"/>
      <c r="R25" s="20"/>
      <c r="S25" s="22" t="s">
        <v>35</v>
      </c>
      <c r="T25" s="20" t="str">
        <f>IF(AND(C25&gt;='Campaign Metadata'!B$2,Posts!C25&lt;='Campaign Metadata'!C$2),"During","Before/After")</f>
        <v>Before/After</v>
      </c>
      <c r="U25" s="20" t="str">
        <f>IF(AND(C25&gt;='Campaign Metadata'!B$3,Posts!C25&lt;='Campaign Metadata'!C$3),"During","Before/After")</f>
        <v>Before/After</v>
      </c>
      <c r="V25" s="20" t="str">
        <f>IF(AND(C25&gt;='Campaign Metadata'!B$4,Posts!C25&lt;='Campaign Metadata'!C$4),"During","Before/After")</f>
        <v>Before/After</v>
      </c>
      <c r="W25" s="50" t="str">
        <f>IF(AND(C25&gt;='Campaign Metadata'!B$5,Posts!C25&lt;='Campaign Metadata'!C$5),"During","Before/After")</f>
        <v>Before/After</v>
      </c>
    </row>
    <row r="26" spans="1:23" x14ac:dyDescent="0.25">
      <c r="A26" s="49" t="s">
        <v>321</v>
      </c>
      <c r="B26" s="92" t="s">
        <v>24</v>
      </c>
      <c r="C26" s="35" t="s">
        <v>322</v>
      </c>
      <c r="D26" s="17" t="s">
        <v>42</v>
      </c>
      <c r="E26" s="17" t="s">
        <v>65</v>
      </c>
      <c r="F26" s="18">
        <v>4295</v>
      </c>
      <c r="G26" s="18">
        <v>853</v>
      </c>
      <c r="H26" s="18">
        <v>325</v>
      </c>
      <c r="I26" s="18">
        <v>85900</v>
      </c>
      <c r="J26" s="18">
        <f t="shared" si="0"/>
        <v>5148.0037834691502</v>
      </c>
      <c r="K26" s="18">
        <f t="shared" si="1"/>
        <v>5473</v>
      </c>
      <c r="L26" s="18">
        <v>85788</v>
      </c>
      <c r="M26" s="18">
        <v>290</v>
      </c>
      <c r="N26" s="19" t="s">
        <v>27</v>
      </c>
      <c r="O26" s="20"/>
      <c r="P26" s="20"/>
      <c r="Q26" s="20"/>
      <c r="R26" s="20"/>
      <c r="S26" s="22" t="s">
        <v>35</v>
      </c>
      <c r="T26" s="20" t="str">
        <f>IF(AND(C26&gt;='Campaign Metadata'!B$2,Posts!C26&lt;='Campaign Metadata'!C$2),"During","Before/After")</f>
        <v>Before/After</v>
      </c>
      <c r="U26" s="20" t="str">
        <f>IF(AND(C26&gt;='Campaign Metadata'!B$3,Posts!C26&lt;='Campaign Metadata'!C$3),"During","Before/After")</f>
        <v>Before/After</v>
      </c>
      <c r="V26" s="20" t="str">
        <f>IF(AND(C26&gt;='Campaign Metadata'!B$4,Posts!C26&lt;='Campaign Metadata'!C$4),"During","Before/After")</f>
        <v>Before/After</v>
      </c>
      <c r="W26" s="50" t="str">
        <f>IF(AND(C26&gt;='Campaign Metadata'!B$5,Posts!C26&lt;='Campaign Metadata'!C$5),"During","Before/After")</f>
        <v>Before/After</v>
      </c>
    </row>
    <row r="27" spans="1:23" x14ac:dyDescent="0.25">
      <c r="A27" s="49" t="s">
        <v>276</v>
      </c>
      <c r="B27" s="92" t="s">
        <v>40</v>
      </c>
      <c r="C27" s="35" t="s">
        <v>275</v>
      </c>
      <c r="D27" s="17" t="s">
        <v>49</v>
      </c>
      <c r="E27" s="17" t="s">
        <v>56</v>
      </c>
      <c r="F27" s="18">
        <v>4551</v>
      </c>
      <c r="G27" s="18">
        <v>714</v>
      </c>
      <c r="H27" s="18">
        <v>207</v>
      </c>
      <c r="I27" s="18">
        <v>68265</v>
      </c>
      <c r="J27" s="18">
        <f t="shared" si="0"/>
        <v>5265.0030323005931</v>
      </c>
      <c r="K27" s="18">
        <f t="shared" si="1"/>
        <v>5472</v>
      </c>
      <c r="L27" s="18">
        <v>67754</v>
      </c>
      <c r="M27" s="18">
        <v>57</v>
      </c>
      <c r="N27" s="19" t="s">
        <v>59</v>
      </c>
      <c r="O27" s="20"/>
      <c r="P27" s="20"/>
      <c r="Q27" s="20"/>
      <c r="R27" s="20"/>
      <c r="S27" s="22" t="s">
        <v>28</v>
      </c>
      <c r="T27" s="20" t="str">
        <f>IF(AND(C27&gt;='Campaign Metadata'!B$2,Posts!C27&lt;='Campaign Metadata'!C$2),"During","Before/After")</f>
        <v>Before/After</v>
      </c>
      <c r="U27" s="20" t="str">
        <f>IF(AND(C27&gt;='Campaign Metadata'!B$3,Posts!C27&lt;='Campaign Metadata'!C$3),"During","Before/After")</f>
        <v>Before/After</v>
      </c>
      <c r="V27" s="20" t="str">
        <f>IF(AND(C27&gt;='Campaign Metadata'!B$4,Posts!C27&lt;='Campaign Metadata'!C$4),"During","Before/After")</f>
        <v>Before/After</v>
      </c>
      <c r="W27" s="50" t="str">
        <f>IF(AND(C27&gt;='Campaign Metadata'!B$5,Posts!C27&lt;='Campaign Metadata'!C$5),"During","Before/After")</f>
        <v>Before/After</v>
      </c>
    </row>
    <row r="28" spans="1:23" x14ac:dyDescent="0.25">
      <c r="A28" s="49" t="s">
        <v>181</v>
      </c>
      <c r="B28" s="92" t="s">
        <v>40</v>
      </c>
      <c r="C28" s="35" t="s">
        <v>182</v>
      </c>
      <c r="D28" s="17" t="s">
        <v>42</v>
      </c>
      <c r="E28" s="17" t="s">
        <v>43</v>
      </c>
      <c r="F28" s="18">
        <v>4712</v>
      </c>
      <c r="G28" s="18">
        <v>568</v>
      </c>
      <c r="H28" s="18">
        <v>127</v>
      </c>
      <c r="I28" s="18">
        <v>84816</v>
      </c>
      <c r="J28" s="18">
        <f t="shared" si="0"/>
        <v>5280.0014973589887</v>
      </c>
      <c r="K28" s="18">
        <f t="shared" si="1"/>
        <v>5407</v>
      </c>
      <c r="L28" s="18">
        <v>84691</v>
      </c>
      <c r="M28" s="18">
        <v>100</v>
      </c>
      <c r="N28" s="19" t="s">
        <v>34</v>
      </c>
      <c r="O28" s="20"/>
      <c r="P28" s="20"/>
      <c r="Q28" s="20"/>
      <c r="R28" s="20"/>
      <c r="S28" s="22" t="s">
        <v>28</v>
      </c>
      <c r="T28" s="20" t="str">
        <f>IF(AND(C28&gt;='Campaign Metadata'!B$2,Posts!C28&lt;='Campaign Metadata'!C$2),"During","Before/After")</f>
        <v>Before/After</v>
      </c>
      <c r="U28" s="20" t="str">
        <f>IF(AND(C28&gt;='Campaign Metadata'!B$3,Posts!C28&lt;='Campaign Metadata'!C$3),"During","Before/After")</f>
        <v>During</v>
      </c>
      <c r="V28" s="20" t="str">
        <f>IF(AND(C28&gt;='Campaign Metadata'!B$4,Posts!C28&lt;='Campaign Metadata'!C$4),"During","Before/After")</f>
        <v>Before/After</v>
      </c>
      <c r="W28" s="50" t="str">
        <f>IF(AND(C28&gt;='Campaign Metadata'!B$5,Posts!C28&lt;='Campaign Metadata'!C$5),"During","Before/After")</f>
        <v>Before/After</v>
      </c>
    </row>
    <row r="29" spans="1:23" x14ac:dyDescent="0.25">
      <c r="A29" s="49" t="s">
        <v>236</v>
      </c>
      <c r="B29" s="92" t="s">
        <v>30</v>
      </c>
      <c r="C29" s="35" t="s">
        <v>237</v>
      </c>
      <c r="D29" s="17" t="s">
        <v>49</v>
      </c>
      <c r="E29" s="17" t="s">
        <v>209</v>
      </c>
      <c r="F29" s="18">
        <v>4739</v>
      </c>
      <c r="G29" s="18">
        <v>527</v>
      </c>
      <c r="H29" s="18">
        <v>135</v>
      </c>
      <c r="I29" s="18">
        <v>61607</v>
      </c>
      <c r="J29" s="18">
        <f t="shared" si="0"/>
        <v>5266.0021913094288</v>
      </c>
      <c r="K29" s="18">
        <f t="shared" si="1"/>
        <v>5401</v>
      </c>
      <c r="L29" s="18">
        <v>61333</v>
      </c>
      <c r="M29" s="18">
        <v>36</v>
      </c>
      <c r="N29" s="19" t="s">
        <v>27</v>
      </c>
      <c r="O29" s="20" t="s">
        <v>597</v>
      </c>
      <c r="P29" s="20"/>
      <c r="Q29" s="20"/>
      <c r="R29" s="20"/>
      <c r="S29" s="22" t="s">
        <v>22</v>
      </c>
      <c r="T29" s="20" t="str">
        <f>IF(AND(C29&gt;='Campaign Metadata'!B$2,Posts!C29&lt;='Campaign Metadata'!C$2),"During","Before/After")</f>
        <v>Before/After</v>
      </c>
      <c r="U29" s="20" t="str">
        <f>IF(AND(C29&gt;='Campaign Metadata'!B$3,Posts!C29&lt;='Campaign Metadata'!C$3),"During","Before/After")</f>
        <v>Before/After</v>
      </c>
      <c r="V29" s="20" t="str">
        <f>IF(AND(C29&gt;='Campaign Metadata'!B$4,Posts!C29&lt;='Campaign Metadata'!C$4),"During","Before/After")</f>
        <v>Before/After</v>
      </c>
      <c r="W29" s="50" t="str">
        <f>IF(AND(C29&gt;='Campaign Metadata'!B$5,Posts!C29&lt;='Campaign Metadata'!C$5),"During","Before/After")</f>
        <v>Before/After</v>
      </c>
    </row>
    <row r="30" spans="1:23" x14ac:dyDescent="0.25">
      <c r="A30" s="49" t="s">
        <v>460</v>
      </c>
      <c r="B30" s="92" t="s">
        <v>40</v>
      </c>
      <c r="C30" s="35" t="s">
        <v>461</v>
      </c>
      <c r="D30" s="17" t="s">
        <v>32</v>
      </c>
      <c r="E30" s="17" t="s">
        <v>68</v>
      </c>
      <c r="F30" s="18">
        <v>4321</v>
      </c>
      <c r="G30" s="18">
        <v>874</v>
      </c>
      <c r="H30" s="18">
        <v>172</v>
      </c>
      <c r="I30" s="18">
        <v>30247</v>
      </c>
      <c r="J30" s="18">
        <f t="shared" si="0"/>
        <v>5195.0056865143652</v>
      </c>
      <c r="K30" s="18">
        <f t="shared" si="1"/>
        <v>5367</v>
      </c>
      <c r="L30" s="18">
        <v>29254</v>
      </c>
      <c r="M30" s="18">
        <v>122</v>
      </c>
      <c r="N30" s="19" t="s">
        <v>27</v>
      </c>
      <c r="O30" s="20"/>
      <c r="P30" s="20"/>
      <c r="Q30" s="20"/>
      <c r="R30" s="20"/>
      <c r="S30" s="22" t="s">
        <v>35</v>
      </c>
      <c r="T30" s="20" t="str">
        <f>IF(AND(C30&gt;='Campaign Metadata'!B$2,Posts!C30&lt;='Campaign Metadata'!C$2),"During","Before/After")</f>
        <v>Before/After</v>
      </c>
      <c r="U30" s="20" t="str">
        <f>IF(AND(C30&gt;='Campaign Metadata'!B$3,Posts!C30&lt;='Campaign Metadata'!C$3),"During","Before/After")</f>
        <v>Before/After</v>
      </c>
      <c r="V30" s="20" t="str">
        <f>IF(AND(C30&gt;='Campaign Metadata'!B$4,Posts!C30&lt;='Campaign Metadata'!C$4),"During","Before/After")</f>
        <v>Before/After</v>
      </c>
      <c r="W30" s="50" t="str">
        <f>IF(AND(C30&gt;='Campaign Metadata'!B$5,Posts!C30&lt;='Campaign Metadata'!C$5),"During","Before/After")</f>
        <v>Before/After</v>
      </c>
    </row>
    <row r="31" spans="1:23" x14ac:dyDescent="0.25">
      <c r="A31" s="49" t="s">
        <v>520</v>
      </c>
      <c r="B31" s="92" t="s">
        <v>24</v>
      </c>
      <c r="C31" s="35" t="s">
        <v>163</v>
      </c>
      <c r="D31" s="17" t="s">
        <v>71</v>
      </c>
      <c r="E31" s="17" t="s">
        <v>212</v>
      </c>
      <c r="F31" s="18">
        <v>4275</v>
      </c>
      <c r="G31" s="18">
        <v>680</v>
      </c>
      <c r="H31" s="18">
        <v>385</v>
      </c>
      <c r="I31" s="18">
        <v>64125</v>
      </c>
      <c r="J31" s="18">
        <f t="shared" si="0"/>
        <v>4955.0060038986358</v>
      </c>
      <c r="K31" s="18">
        <f t="shared" si="1"/>
        <v>5340</v>
      </c>
      <c r="L31" s="18">
        <v>63650</v>
      </c>
      <c r="M31" s="18">
        <v>104</v>
      </c>
      <c r="N31" s="19" t="s">
        <v>34</v>
      </c>
      <c r="O31" s="20" t="s">
        <v>27</v>
      </c>
      <c r="P31" s="20" t="s">
        <v>597</v>
      </c>
      <c r="Q31" s="20"/>
      <c r="R31" s="20"/>
      <c r="S31" s="22" t="s">
        <v>35</v>
      </c>
      <c r="T31" s="20" t="str">
        <f>IF(AND(C31&gt;='Campaign Metadata'!B$2,Posts!C31&lt;='Campaign Metadata'!C$2),"During","Before/After")</f>
        <v>Before/After</v>
      </c>
      <c r="U31" s="20" t="str">
        <f>IF(AND(C31&gt;='Campaign Metadata'!B$3,Posts!C31&lt;='Campaign Metadata'!C$3),"During","Before/After")</f>
        <v>Before/After</v>
      </c>
      <c r="V31" s="20" t="str">
        <f>IF(AND(C31&gt;='Campaign Metadata'!B$4,Posts!C31&lt;='Campaign Metadata'!C$4),"During","Before/After")</f>
        <v>During</v>
      </c>
      <c r="W31" s="50" t="str">
        <f>IF(AND(C31&gt;='Campaign Metadata'!B$5,Posts!C31&lt;='Campaign Metadata'!C$5),"During","Before/After")</f>
        <v>Before/After</v>
      </c>
    </row>
    <row r="32" spans="1:23" x14ac:dyDescent="0.25">
      <c r="A32" s="49" t="s">
        <v>489</v>
      </c>
      <c r="B32" s="92" t="s">
        <v>30</v>
      </c>
      <c r="C32" s="35" t="s">
        <v>490</v>
      </c>
      <c r="D32" s="17" t="s">
        <v>32</v>
      </c>
      <c r="E32" s="17" t="s">
        <v>33</v>
      </c>
      <c r="F32" s="18">
        <v>4332</v>
      </c>
      <c r="G32" s="18">
        <v>771</v>
      </c>
      <c r="H32" s="18">
        <v>219</v>
      </c>
      <c r="I32" s="18">
        <v>60648</v>
      </c>
      <c r="J32" s="18">
        <f t="shared" si="0"/>
        <v>5103.003611001187</v>
      </c>
      <c r="K32" s="18">
        <f t="shared" si="1"/>
        <v>5322</v>
      </c>
      <c r="L32" s="18">
        <v>60397</v>
      </c>
      <c r="M32" s="18">
        <v>10</v>
      </c>
      <c r="N32" s="19" t="s">
        <v>27</v>
      </c>
      <c r="O32" s="20" t="s">
        <v>34</v>
      </c>
      <c r="P32" s="20" t="s">
        <v>598</v>
      </c>
      <c r="Q32" s="20"/>
      <c r="R32" s="20"/>
      <c r="S32" s="22" t="s">
        <v>28</v>
      </c>
      <c r="T32" s="20" t="str">
        <f>IF(AND(C32&gt;='Campaign Metadata'!B$2,Posts!C32&lt;='Campaign Metadata'!C$2),"During","Before/After")</f>
        <v>Before/After</v>
      </c>
      <c r="U32" s="20" t="str">
        <f>IF(AND(C32&gt;='Campaign Metadata'!B$3,Posts!C32&lt;='Campaign Metadata'!C$3),"During","Before/After")</f>
        <v>Before/After</v>
      </c>
      <c r="V32" s="20" t="str">
        <f>IF(AND(C32&gt;='Campaign Metadata'!B$4,Posts!C32&lt;='Campaign Metadata'!C$4),"During","Before/After")</f>
        <v>Before/After</v>
      </c>
      <c r="W32" s="50" t="str">
        <f>IF(AND(C32&gt;='Campaign Metadata'!B$5,Posts!C32&lt;='Campaign Metadata'!C$5),"During","Before/After")</f>
        <v>Before/After</v>
      </c>
    </row>
    <row r="33" spans="1:23" x14ac:dyDescent="0.25">
      <c r="A33" s="49" t="s">
        <v>126</v>
      </c>
      <c r="B33" s="92" t="s">
        <v>13</v>
      </c>
      <c r="C33" s="35" t="s">
        <v>127</v>
      </c>
      <c r="D33" s="17" t="s">
        <v>49</v>
      </c>
      <c r="E33" s="17" t="s">
        <v>128</v>
      </c>
      <c r="F33" s="18">
        <v>4750</v>
      </c>
      <c r="G33" s="18">
        <v>151</v>
      </c>
      <c r="H33" s="18">
        <v>415</v>
      </c>
      <c r="I33" s="18">
        <v>38000</v>
      </c>
      <c r="J33" s="18">
        <f t="shared" si="0"/>
        <v>4901.0109210526316</v>
      </c>
      <c r="K33" s="18">
        <f t="shared" si="1"/>
        <v>5316</v>
      </c>
      <c r="L33" s="18">
        <v>37792</v>
      </c>
      <c r="M33" s="18">
        <v>299</v>
      </c>
      <c r="N33" s="19" t="s">
        <v>34</v>
      </c>
      <c r="O33" s="20"/>
      <c r="P33" s="20"/>
      <c r="Q33" s="20"/>
      <c r="R33" s="20"/>
      <c r="S33" s="22" t="s">
        <v>35</v>
      </c>
      <c r="T33" s="20" t="str">
        <f>IF(AND(C33&gt;='Campaign Metadata'!B$2,Posts!C33&lt;='Campaign Metadata'!C$2),"During","Before/After")</f>
        <v>Before/After</v>
      </c>
      <c r="U33" s="20" t="str">
        <f>IF(AND(C33&gt;='Campaign Metadata'!B$3,Posts!C33&lt;='Campaign Metadata'!C$3),"During","Before/After")</f>
        <v>During</v>
      </c>
      <c r="V33" s="20" t="str">
        <f>IF(AND(C33&gt;='Campaign Metadata'!B$4,Posts!C33&lt;='Campaign Metadata'!C$4),"During","Before/After")</f>
        <v>Before/After</v>
      </c>
      <c r="W33" s="50" t="str">
        <f>IF(AND(C33&gt;='Campaign Metadata'!B$5,Posts!C33&lt;='Campaign Metadata'!C$5),"During","Before/After")</f>
        <v>Before/After</v>
      </c>
    </row>
    <row r="34" spans="1:23" x14ac:dyDescent="0.25">
      <c r="A34" s="49" t="s">
        <v>391</v>
      </c>
      <c r="B34" s="92" t="s">
        <v>13</v>
      </c>
      <c r="C34" s="35" t="s">
        <v>392</v>
      </c>
      <c r="D34" s="17" t="s">
        <v>49</v>
      </c>
      <c r="E34" s="17" t="s">
        <v>128</v>
      </c>
      <c r="F34" s="18">
        <v>4858</v>
      </c>
      <c r="G34" s="18">
        <v>317</v>
      </c>
      <c r="H34" s="18">
        <v>129</v>
      </c>
      <c r="I34" s="18">
        <v>53438</v>
      </c>
      <c r="J34" s="18">
        <f t="shared" si="0"/>
        <v>5175.0024140125006</v>
      </c>
      <c r="K34" s="18">
        <f t="shared" si="1"/>
        <v>5304</v>
      </c>
      <c r="L34" s="18">
        <v>52687</v>
      </c>
      <c r="M34" s="18">
        <v>223</v>
      </c>
      <c r="N34" s="19" t="s">
        <v>34</v>
      </c>
      <c r="O34" s="20"/>
      <c r="P34" s="20"/>
      <c r="Q34" s="20"/>
      <c r="R34" s="20"/>
      <c r="S34" s="22" t="s">
        <v>28</v>
      </c>
      <c r="T34" s="20" t="str">
        <f>IF(AND(C34&gt;='Campaign Metadata'!B$2,Posts!C34&lt;='Campaign Metadata'!C$2),"During","Before/After")</f>
        <v>Before/After</v>
      </c>
      <c r="U34" s="20" t="str">
        <f>IF(AND(C34&gt;='Campaign Metadata'!B$3,Posts!C34&lt;='Campaign Metadata'!C$3),"During","Before/After")</f>
        <v>Before/After</v>
      </c>
      <c r="V34" s="20" t="str">
        <f>IF(AND(C34&gt;='Campaign Metadata'!B$4,Posts!C34&lt;='Campaign Metadata'!C$4),"During","Before/After")</f>
        <v>Before/After</v>
      </c>
      <c r="W34" s="50" t="str">
        <f>IF(AND(C34&gt;='Campaign Metadata'!B$5,Posts!C34&lt;='Campaign Metadata'!C$5),"During","Before/After")</f>
        <v>Before/After</v>
      </c>
    </row>
    <row r="35" spans="1:23" x14ac:dyDescent="0.25">
      <c r="A35" s="49" t="s">
        <v>462</v>
      </c>
      <c r="B35" s="92" t="s">
        <v>40</v>
      </c>
      <c r="C35" s="35" t="s">
        <v>221</v>
      </c>
      <c r="D35" s="17" t="s">
        <v>15</v>
      </c>
      <c r="E35" s="17" t="s">
        <v>62</v>
      </c>
      <c r="F35" s="18">
        <v>4767</v>
      </c>
      <c r="G35" s="18">
        <v>190</v>
      </c>
      <c r="H35" s="18">
        <v>340</v>
      </c>
      <c r="I35" s="18">
        <v>28602</v>
      </c>
      <c r="J35" s="18">
        <f t="shared" si="0"/>
        <v>4957.0118872806097</v>
      </c>
      <c r="K35" s="18">
        <f t="shared" si="1"/>
        <v>5297</v>
      </c>
      <c r="L35" s="18">
        <v>28044</v>
      </c>
      <c r="M35" s="18">
        <v>210</v>
      </c>
      <c r="N35" s="19" t="s">
        <v>34</v>
      </c>
      <c r="O35" s="20"/>
      <c r="P35" s="20"/>
      <c r="Q35" s="20"/>
      <c r="R35" s="20"/>
      <c r="S35" s="22" t="s">
        <v>28</v>
      </c>
      <c r="T35" s="20" t="str">
        <f>IF(AND(C35&gt;='Campaign Metadata'!B$2,Posts!C35&lt;='Campaign Metadata'!C$2),"During","Before/After")</f>
        <v>During</v>
      </c>
      <c r="U35" s="20" t="str">
        <f>IF(AND(C35&gt;='Campaign Metadata'!B$3,Posts!C35&lt;='Campaign Metadata'!C$3),"During","Before/After")</f>
        <v>Before/After</v>
      </c>
      <c r="V35" s="20" t="str">
        <f>IF(AND(C35&gt;='Campaign Metadata'!B$4,Posts!C35&lt;='Campaign Metadata'!C$4),"During","Before/After")</f>
        <v>Before/After</v>
      </c>
      <c r="W35" s="50" t="str">
        <f>IF(AND(C35&gt;='Campaign Metadata'!B$5,Posts!C35&lt;='Campaign Metadata'!C$5),"During","Before/After")</f>
        <v>Before/After</v>
      </c>
    </row>
    <row r="36" spans="1:23" x14ac:dyDescent="0.25">
      <c r="A36" s="49" t="s">
        <v>256</v>
      </c>
      <c r="B36" s="92" t="s">
        <v>13</v>
      </c>
      <c r="C36" s="35" t="s">
        <v>257</v>
      </c>
      <c r="D36" s="17" t="s">
        <v>71</v>
      </c>
      <c r="E36" s="17" t="s">
        <v>141</v>
      </c>
      <c r="F36" s="18">
        <v>4050</v>
      </c>
      <c r="G36" s="18">
        <v>871</v>
      </c>
      <c r="H36" s="18">
        <v>347</v>
      </c>
      <c r="I36" s="18">
        <v>52650</v>
      </c>
      <c r="J36" s="18">
        <f t="shared" si="0"/>
        <v>4921.0065906932577</v>
      </c>
      <c r="K36" s="18">
        <f t="shared" si="1"/>
        <v>5268</v>
      </c>
      <c r="L36" s="18">
        <v>51755</v>
      </c>
      <c r="M36" s="18">
        <v>209</v>
      </c>
      <c r="N36" s="19" t="s">
        <v>27</v>
      </c>
      <c r="O36" s="20"/>
      <c r="P36" s="20"/>
      <c r="Q36" s="20"/>
      <c r="R36" s="20"/>
      <c r="S36" s="22" t="s">
        <v>22</v>
      </c>
      <c r="T36" s="20" t="str">
        <f>IF(AND(C36&gt;='Campaign Metadata'!B$2,Posts!C36&lt;='Campaign Metadata'!C$2),"During","Before/After")</f>
        <v>Before/After</v>
      </c>
      <c r="U36" s="20" t="str">
        <f>IF(AND(C36&gt;='Campaign Metadata'!B$3,Posts!C36&lt;='Campaign Metadata'!C$3),"During","Before/After")</f>
        <v>During</v>
      </c>
      <c r="V36" s="20" t="str">
        <f>IF(AND(C36&gt;='Campaign Metadata'!B$4,Posts!C36&lt;='Campaign Metadata'!C$4),"During","Before/After")</f>
        <v>Before/After</v>
      </c>
      <c r="W36" s="50" t="str">
        <f>IF(AND(C36&gt;='Campaign Metadata'!B$5,Posts!C36&lt;='Campaign Metadata'!C$5),"During","Before/After")</f>
        <v>Before/After</v>
      </c>
    </row>
    <row r="37" spans="1:23" x14ac:dyDescent="0.25">
      <c r="A37" s="49" t="s">
        <v>551</v>
      </c>
      <c r="B37" s="92" t="s">
        <v>13</v>
      </c>
      <c r="C37" s="35" t="s">
        <v>310</v>
      </c>
      <c r="D37" s="17" t="s">
        <v>42</v>
      </c>
      <c r="E37" s="17" t="s">
        <v>46</v>
      </c>
      <c r="F37" s="18">
        <v>4494</v>
      </c>
      <c r="G37" s="18">
        <v>717</v>
      </c>
      <c r="H37" s="18">
        <v>45</v>
      </c>
      <c r="I37" s="18">
        <v>62916</v>
      </c>
      <c r="J37" s="18">
        <f t="shared" si="0"/>
        <v>5211.0007152393664</v>
      </c>
      <c r="K37" s="18">
        <f t="shared" si="1"/>
        <v>5256</v>
      </c>
      <c r="L37" s="18">
        <v>62688</v>
      </c>
      <c r="M37" s="18">
        <v>191</v>
      </c>
      <c r="N37" s="19" t="s">
        <v>27</v>
      </c>
      <c r="O37" s="20" t="s">
        <v>34</v>
      </c>
      <c r="P37" s="20" t="s">
        <v>598</v>
      </c>
      <c r="Q37" s="20"/>
      <c r="R37" s="20"/>
      <c r="S37" s="21" t="s">
        <v>17</v>
      </c>
      <c r="T37" s="20" t="str">
        <f>IF(AND(C37&gt;='Campaign Metadata'!B$2,Posts!C37&lt;='Campaign Metadata'!C$2),"During","Before/After")</f>
        <v>Before/After</v>
      </c>
      <c r="U37" s="20" t="str">
        <f>IF(AND(C37&gt;='Campaign Metadata'!B$3,Posts!C37&lt;='Campaign Metadata'!C$3),"During","Before/After")</f>
        <v>Before/After</v>
      </c>
      <c r="V37" s="20" t="str">
        <f>IF(AND(C37&gt;='Campaign Metadata'!B$4,Posts!C37&lt;='Campaign Metadata'!C$4),"During","Before/After")</f>
        <v>Before/After</v>
      </c>
      <c r="W37" s="50" t="str">
        <f>IF(AND(C37&gt;='Campaign Metadata'!B$5,Posts!C37&lt;='Campaign Metadata'!C$5),"During","Before/After")</f>
        <v>Before/After</v>
      </c>
    </row>
    <row r="38" spans="1:23" x14ac:dyDescent="0.25">
      <c r="A38" s="49" t="s">
        <v>458</v>
      </c>
      <c r="B38" s="92" t="s">
        <v>24</v>
      </c>
      <c r="C38" s="35" t="s">
        <v>143</v>
      </c>
      <c r="D38" s="17" t="s">
        <v>20</v>
      </c>
      <c r="E38" s="17" t="s">
        <v>100</v>
      </c>
      <c r="F38" s="18">
        <v>4188</v>
      </c>
      <c r="G38" s="18">
        <v>942</v>
      </c>
      <c r="H38" s="18">
        <v>118</v>
      </c>
      <c r="I38" s="18">
        <v>20940</v>
      </c>
      <c r="J38" s="18">
        <f t="shared" si="0"/>
        <v>5130.0056351480416</v>
      </c>
      <c r="K38" s="18">
        <f t="shared" si="1"/>
        <v>5248</v>
      </c>
      <c r="L38" s="18">
        <v>20471</v>
      </c>
      <c r="M38" s="18">
        <v>102</v>
      </c>
      <c r="N38" s="19" t="s">
        <v>59</v>
      </c>
      <c r="O38" s="20"/>
      <c r="P38" s="20"/>
      <c r="Q38" s="20"/>
      <c r="R38" s="20"/>
      <c r="S38" s="22"/>
      <c r="T38" s="20" t="str">
        <f>IF(AND(C38&gt;='Campaign Metadata'!B$2,Posts!C38&lt;='Campaign Metadata'!C$2),"During","Before/After")</f>
        <v>Before/After</v>
      </c>
      <c r="U38" s="20" t="str">
        <f>IF(AND(C38&gt;='Campaign Metadata'!B$3,Posts!C38&lt;='Campaign Metadata'!C$3),"During","Before/After")</f>
        <v>Before/After</v>
      </c>
      <c r="V38" s="20" t="str">
        <f>IF(AND(C38&gt;='Campaign Metadata'!B$4,Posts!C38&lt;='Campaign Metadata'!C$4),"During","Before/After")</f>
        <v>Before/After</v>
      </c>
      <c r="W38" s="50" t="str">
        <f>IF(AND(C38&gt;='Campaign Metadata'!B$5,Posts!C38&lt;='Campaign Metadata'!C$5),"During","Before/After")</f>
        <v>Before/After</v>
      </c>
    </row>
    <row r="39" spans="1:23" x14ac:dyDescent="0.25">
      <c r="A39" s="49" t="s">
        <v>516</v>
      </c>
      <c r="B39" s="92" t="s">
        <v>40</v>
      </c>
      <c r="C39" s="35" t="s">
        <v>284</v>
      </c>
      <c r="D39" s="17" t="s">
        <v>49</v>
      </c>
      <c r="E39" s="17" t="s">
        <v>56</v>
      </c>
      <c r="F39" s="18">
        <v>4236</v>
      </c>
      <c r="G39" s="18">
        <v>711</v>
      </c>
      <c r="H39" s="18">
        <v>298</v>
      </c>
      <c r="I39" s="18">
        <v>21180</v>
      </c>
      <c r="J39" s="18">
        <f t="shared" si="0"/>
        <v>4947.0140698772429</v>
      </c>
      <c r="K39" s="18">
        <f t="shared" si="1"/>
        <v>5245</v>
      </c>
      <c r="L39" s="18">
        <v>20516</v>
      </c>
      <c r="M39" s="18">
        <v>238</v>
      </c>
      <c r="N39" s="19" t="s">
        <v>59</v>
      </c>
      <c r="O39" s="20"/>
      <c r="P39" s="20"/>
      <c r="Q39" s="20"/>
      <c r="R39" s="20"/>
      <c r="S39" s="21" t="s">
        <v>17</v>
      </c>
      <c r="T39" s="20" t="str">
        <f>IF(AND(C39&gt;='Campaign Metadata'!B$2,Posts!C39&lt;='Campaign Metadata'!C$2),"During","Before/After")</f>
        <v>Before/After</v>
      </c>
      <c r="U39" s="20" t="str">
        <f>IF(AND(C39&gt;='Campaign Metadata'!B$3,Posts!C39&lt;='Campaign Metadata'!C$3),"During","Before/After")</f>
        <v>Before/After</v>
      </c>
      <c r="V39" s="20" t="str">
        <f>IF(AND(C39&gt;='Campaign Metadata'!B$4,Posts!C39&lt;='Campaign Metadata'!C$4),"During","Before/After")</f>
        <v>Before/After</v>
      </c>
      <c r="W39" s="50" t="str">
        <f>IF(AND(C39&gt;='Campaign Metadata'!B$5,Posts!C39&lt;='Campaign Metadata'!C$5),"During","Before/After")</f>
        <v>Before/After</v>
      </c>
    </row>
    <row r="40" spans="1:23" x14ac:dyDescent="0.25">
      <c r="A40" s="49" t="s">
        <v>374</v>
      </c>
      <c r="B40" s="92" t="s">
        <v>40</v>
      </c>
      <c r="C40" s="35" t="s">
        <v>111</v>
      </c>
      <c r="D40" s="17" t="s">
        <v>49</v>
      </c>
      <c r="E40" s="17" t="s">
        <v>56</v>
      </c>
      <c r="F40" s="18">
        <v>4689</v>
      </c>
      <c r="G40" s="18">
        <v>134</v>
      </c>
      <c r="H40" s="18">
        <v>403</v>
      </c>
      <c r="I40" s="18">
        <v>51579</v>
      </c>
      <c r="J40" s="18">
        <f t="shared" si="0"/>
        <v>4823.0078132573335</v>
      </c>
      <c r="K40" s="18">
        <f t="shared" si="1"/>
        <v>5226</v>
      </c>
      <c r="L40" s="18">
        <v>50924</v>
      </c>
      <c r="M40" s="18">
        <v>173</v>
      </c>
      <c r="N40" s="19" t="s">
        <v>27</v>
      </c>
      <c r="O40" s="20"/>
      <c r="P40" s="20"/>
      <c r="Q40" s="20"/>
      <c r="R40" s="20"/>
      <c r="S40" s="22" t="s">
        <v>35</v>
      </c>
      <c r="T40" s="20" t="str">
        <f>IF(AND(C40&gt;='Campaign Metadata'!B$2,Posts!C40&lt;='Campaign Metadata'!C$2),"During","Before/After")</f>
        <v>Before/After</v>
      </c>
      <c r="U40" s="20" t="str">
        <f>IF(AND(C40&gt;='Campaign Metadata'!B$3,Posts!C40&lt;='Campaign Metadata'!C$3),"During","Before/After")</f>
        <v>Before/After</v>
      </c>
      <c r="V40" s="20" t="str">
        <f>IF(AND(C40&gt;='Campaign Metadata'!B$4,Posts!C40&lt;='Campaign Metadata'!C$4),"During","Before/After")</f>
        <v>Before/After</v>
      </c>
      <c r="W40" s="50" t="str">
        <f>IF(AND(C40&gt;='Campaign Metadata'!B$5,Posts!C40&lt;='Campaign Metadata'!C$5),"During","Before/After")</f>
        <v>Before/After</v>
      </c>
    </row>
    <row r="41" spans="1:23" x14ac:dyDescent="0.25">
      <c r="A41" s="49" t="s">
        <v>344</v>
      </c>
      <c r="B41" s="92" t="s">
        <v>30</v>
      </c>
      <c r="C41" s="35" t="s">
        <v>345</v>
      </c>
      <c r="D41" s="17" t="s">
        <v>49</v>
      </c>
      <c r="E41" s="17" t="s">
        <v>209</v>
      </c>
      <c r="F41" s="18">
        <v>4501</v>
      </c>
      <c r="G41" s="18">
        <v>375</v>
      </c>
      <c r="H41" s="18">
        <v>323</v>
      </c>
      <c r="I41" s="18">
        <v>22505</v>
      </c>
      <c r="J41" s="18">
        <f t="shared" si="0"/>
        <v>4876.0143523661409</v>
      </c>
      <c r="K41" s="18">
        <f t="shared" si="1"/>
        <v>5199</v>
      </c>
      <c r="L41" s="18">
        <v>21836</v>
      </c>
      <c r="M41" s="18">
        <v>132</v>
      </c>
      <c r="N41" s="19" t="s">
        <v>27</v>
      </c>
      <c r="O41" s="20"/>
      <c r="P41" s="20"/>
      <c r="Q41" s="20"/>
      <c r="R41" s="20"/>
      <c r="S41" s="22" t="s">
        <v>22</v>
      </c>
      <c r="T41" s="20" t="str">
        <f>IF(AND(C41&gt;='Campaign Metadata'!B$2,Posts!C41&lt;='Campaign Metadata'!C$2),"During","Before/After")</f>
        <v>Before/After</v>
      </c>
      <c r="U41" s="20" t="str">
        <f>IF(AND(C41&gt;='Campaign Metadata'!B$3,Posts!C41&lt;='Campaign Metadata'!C$3),"During","Before/After")</f>
        <v>Before/After</v>
      </c>
      <c r="V41" s="20" t="str">
        <f>IF(AND(C41&gt;='Campaign Metadata'!B$4,Posts!C41&lt;='Campaign Metadata'!C$4),"During","Before/After")</f>
        <v>Before/After</v>
      </c>
      <c r="W41" s="50" t="str">
        <f>IF(AND(C41&gt;='Campaign Metadata'!B$5,Posts!C41&lt;='Campaign Metadata'!C$5),"During","Before/After")</f>
        <v>Before/After</v>
      </c>
    </row>
    <row r="42" spans="1:23" x14ac:dyDescent="0.25">
      <c r="A42" s="49" t="s">
        <v>54</v>
      </c>
      <c r="B42" s="92" t="s">
        <v>40</v>
      </c>
      <c r="C42" s="35" t="s">
        <v>55</v>
      </c>
      <c r="D42" s="17" t="s">
        <v>49</v>
      </c>
      <c r="E42" s="17" t="s">
        <v>56</v>
      </c>
      <c r="F42" s="18">
        <v>4241</v>
      </c>
      <c r="G42" s="18">
        <v>902</v>
      </c>
      <c r="H42" s="18">
        <v>47</v>
      </c>
      <c r="I42" s="18">
        <v>72097</v>
      </c>
      <c r="J42" s="18">
        <f t="shared" si="0"/>
        <v>5143.0006518995242</v>
      </c>
      <c r="K42" s="18">
        <f t="shared" si="1"/>
        <v>5190</v>
      </c>
      <c r="L42" s="18">
        <v>71598</v>
      </c>
      <c r="M42" s="18">
        <v>167</v>
      </c>
      <c r="N42" s="19" t="s">
        <v>27</v>
      </c>
      <c r="O42" s="20"/>
      <c r="P42" s="20"/>
      <c r="Q42" s="20"/>
      <c r="R42" s="20"/>
      <c r="S42" s="22" t="s">
        <v>22</v>
      </c>
      <c r="T42" s="20" t="str">
        <f>IF(AND(C42&gt;='Campaign Metadata'!B$2,Posts!C42&lt;='Campaign Metadata'!C$2),"During","Before/After")</f>
        <v>Before/After</v>
      </c>
      <c r="U42" s="20" t="str">
        <f>IF(AND(C42&gt;='Campaign Metadata'!B$3,Posts!C42&lt;='Campaign Metadata'!C$3),"During","Before/After")</f>
        <v>During</v>
      </c>
      <c r="V42" s="20" t="str">
        <f>IF(AND(C42&gt;='Campaign Metadata'!B$4,Posts!C42&lt;='Campaign Metadata'!C$4),"During","Before/After")</f>
        <v>Before/After</v>
      </c>
      <c r="W42" s="50" t="str">
        <f>IF(AND(C42&gt;='Campaign Metadata'!B$5,Posts!C42&lt;='Campaign Metadata'!C$5),"During","Before/After")</f>
        <v>Before/After</v>
      </c>
    </row>
    <row r="43" spans="1:23" x14ac:dyDescent="0.25">
      <c r="A43" s="49" t="s">
        <v>118</v>
      </c>
      <c r="B43" s="92" t="s">
        <v>30</v>
      </c>
      <c r="C43" s="35" t="s">
        <v>119</v>
      </c>
      <c r="D43" s="17" t="s">
        <v>32</v>
      </c>
      <c r="E43" s="17" t="s">
        <v>33</v>
      </c>
      <c r="F43" s="18">
        <v>4518</v>
      </c>
      <c r="G43" s="18">
        <v>285</v>
      </c>
      <c r="H43" s="18">
        <v>383</v>
      </c>
      <c r="I43" s="18">
        <v>67770</v>
      </c>
      <c r="J43" s="18">
        <f t="shared" si="0"/>
        <v>4803.005651468201</v>
      </c>
      <c r="K43" s="18">
        <f t="shared" si="1"/>
        <v>5186</v>
      </c>
      <c r="L43" s="18">
        <v>67621</v>
      </c>
      <c r="M43" s="18">
        <v>31</v>
      </c>
      <c r="N43" s="19" t="s">
        <v>34</v>
      </c>
      <c r="O43" s="20"/>
      <c r="P43" s="20"/>
      <c r="Q43" s="20"/>
      <c r="R43" s="20"/>
      <c r="S43" s="22" t="s">
        <v>22</v>
      </c>
      <c r="T43" s="20" t="str">
        <f>IF(AND(C43&gt;='Campaign Metadata'!B$2,Posts!C43&lt;='Campaign Metadata'!C$2),"During","Before/After")</f>
        <v>Before/After</v>
      </c>
      <c r="U43" s="20" t="str">
        <f>IF(AND(C43&gt;='Campaign Metadata'!B$3,Posts!C43&lt;='Campaign Metadata'!C$3),"During","Before/After")</f>
        <v>Before/After</v>
      </c>
      <c r="V43" s="20" t="str">
        <f>IF(AND(C43&gt;='Campaign Metadata'!B$4,Posts!C43&lt;='Campaign Metadata'!C$4),"During","Before/After")</f>
        <v>Before/After</v>
      </c>
      <c r="W43" s="50" t="str">
        <f>IF(AND(C43&gt;='Campaign Metadata'!B$5,Posts!C43&lt;='Campaign Metadata'!C$5),"During","Before/After")</f>
        <v>Before/After</v>
      </c>
    </row>
    <row r="44" spans="1:23" x14ac:dyDescent="0.25">
      <c r="A44" s="49" t="s">
        <v>542</v>
      </c>
      <c r="B44" s="92" t="s">
        <v>40</v>
      </c>
      <c r="C44" s="35" t="s">
        <v>543</v>
      </c>
      <c r="D44" s="17" t="s">
        <v>42</v>
      </c>
      <c r="E44" s="17" t="s">
        <v>43</v>
      </c>
      <c r="F44" s="18">
        <v>4731</v>
      </c>
      <c r="G44" s="18">
        <v>173</v>
      </c>
      <c r="H44" s="18">
        <v>276</v>
      </c>
      <c r="I44" s="18">
        <v>28386</v>
      </c>
      <c r="J44" s="18">
        <f t="shared" si="0"/>
        <v>4904.0097231029376</v>
      </c>
      <c r="K44" s="18">
        <f t="shared" si="1"/>
        <v>5180</v>
      </c>
      <c r="L44" s="18">
        <v>28185</v>
      </c>
      <c r="M44" s="18">
        <v>89</v>
      </c>
      <c r="N44" s="19" t="s">
        <v>34</v>
      </c>
      <c r="O44" s="20"/>
      <c r="P44" s="20"/>
      <c r="Q44" s="20"/>
      <c r="R44" s="20"/>
      <c r="S44" s="22" t="s">
        <v>28</v>
      </c>
      <c r="T44" s="20" t="str">
        <f>IF(AND(C44&gt;='Campaign Metadata'!B$2,Posts!C44&lt;='Campaign Metadata'!C$2),"During","Before/After")</f>
        <v>During</v>
      </c>
      <c r="U44" s="20" t="str">
        <f>IF(AND(C44&gt;='Campaign Metadata'!B$3,Posts!C44&lt;='Campaign Metadata'!C$3),"During","Before/After")</f>
        <v>Before/After</v>
      </c>
      <c r="V44" s="20" t="str">
        <f>IF(AND(C44&gt;='Campaign Metadata'!B$4,Posts!C44&lt;='Campaign Metadata'!C$4),"During","Before/After")</f>
        <v>Before/After</v>
      </c>
      <c r="W44" s="50" t="str">
        <f>IF(AND(C44&gt;='Campaign Metadata'!B$5,Posts!C44&lt;='Campaign Metadata'!C$5),"During","Before/After")</f>
        <v>Before/After</v>
      </c>
    </row>
    <row r="45" spans="1:23" x14ac:dyDescent="0.25">
      <c r="A45" s="49" t="s">
        <v>268</v>
      </c>
      <c r="B45" s="92" t="s">
        <v>13</v>
      </c>
      <c r="C45" s="35" t="s">
        <v>269</v>
      </c>
      <c r="D45" s="17" t="s">
        <v>32</v>
      </c>
      <c r="E45" s="17" t="s">
        <v>145</v>
      </c>
      <c r="F45" s="18">
        <v>4000</v>
      </c>
      <c r="G45" s="18">
        <v>689</v>
      </c>
      <c r="H45" s="18">
        <v>488</v>
      </c>
      <c r="I45" s="18">
        <v>40000</v>
      </c>
      <c r="J45" s="18">
        <f t="shared" si="0"/>
        <v>4689.0122000000001</v>
      </c>
      <c r="K45" s="18">
        <f t="shared" si="1"/>
        <v>5177</v>
      </c>
      <c r="L45" s="18">
        <v>39569</v>
      </c>
      <c r="M45" s="18">
        <v>44</v>
      </c>
      <c r="N45" s="19" t="s">
        <v>59</v>
      </c>
      <c r="O45" s="20"/>
      <c r="P45" s="20"/>
      <c r="Q45" s="20"/>
      <c r="R45" s="20"/>
      <c r="S45" s="21" t="s">
        <v>17</v>
      </c>
      <c r="T45" s="20" t="str">
        <f>IF(AND(C45&gt;='Campaign Metadata'!B$2,Posts!C45&lt;='Campaign Metadata'!C$2),"During","Before/After")</f>
        <v>Before/After</v>
      </c>
      <c r="U45" s="20" t="str">
        <f>IF(AND(C45&gt;='Campaign Metadata'!B$3,Posts!C45&lt;='Campaign Metadata'!C$3),"During","Before/After")</f>
        <v>Before/After</v>
      </c>
      <c r="V45" s="20" t="str">
        <f>IF(AND(C45&gt;='Campaign Metadata'!B$4,Posts!C45&lt;='Campaign Metadata'!C$4),"During","Before/After")</f>
        <v>Before/After</v>
      </c>
      <c r="W45" s="50" t="str">
        <f>IF(AND(C45&gt;='Campaign Metadata'!B$5,Posts!C45&lt;='Campaign Metadata'!C$5),"During","Before/After")</f>
        <v>Before/After</v>
      </c>
    </row>
    <row r="46" spans="1:23" x14ac:dyDescent="0.25">
      <c r="A46" s="49" t="s">
        <v>228</v>
      </c>
      <c r="B46" s="92" t="s">
        <v>13</v>
      </c>
      <c r="C46" s="35" t="s">
        <v>163</v>
      </c>
      <c r="D46" s="17" t="s">
        <v>32</v>
      </c>
      <c r="E46" s="17" t="s">
        <v>145</v>
      </c>
      <c r="F46" s="18">
        <v>3801</v>
      </c>
      <c r="G46" s="18">
        <v>967</v>
      </c>
      <c r="H46" s="18">
        <v>401</v>
      </c>
      <c r="I46" s="18">
        <v>38010</v>
      </c>
      <c r="J46" s="18">
        <f t="shared" si="0"/>
        <v>4768.0105498553012</v>
      </c>
      <c r="K46" s="18">
        <f t="shared" si="1"/>
        <v>5169</v>
      </c>
      <c r="L46" s="18">
        <v>37625</v>
      </c>
      <c r="M46" s="18">
        <v>236</v>
      </c>
      <c r="N46" s="19" t="s">
        <v>59</v>
      </c>
      <c r="O46" s="20"/>
      <c r="P46" s="20"/>
      <c r="Q46" s="20"/>
      <c r="R46" s="20"/>
      <c r="S46" s="22" t="s">
        <v>28</v>
      </c>
      <c r="T46" s="20" t="str">
        <f>IF(AND(C46&gt;='Campaign Metadata'!B$2,Posts!C46&lt;='Campaign Metadata'!C$2),"During","Before/After")</f>
        <v>Before/After</v>
      </c>
      <c r="U46" s="20" t="str">
        <f>IF(AND(C46&gt;='Campaign Metadata'!B$3,Posts!C46&lt;='Campaign Metadata'!C$3),"During","Before/After")</f>
        <v>Before/After</v>
      </c>
      <c r="V46" s="20" t="str">
        <f>IF(AND(C46&gt;='Campaign Metadata'!B$4,Posts!C46&lt;='Campaign Metadata'!C$4),"During","Before/After")</f>
        <v>During</v>
      </c>
      <c r="W46" s="50" t="str">
        <f>IF(AND(C46&gt;='Campaign Metadata'!B$5,Posts!C46&lt;='Campaign Metadata'!C$5),"During","Before/After")</f>
        <v>Before/After</v>
      </c>
    </row>
    <row r="47" spans="1:23" x14ac:dyDescent="0.25">
      <c r="A47" s="49" t="s">
        <v>333</v>
      </c>
      <c r="B47" s="92" t="s">
        <v>24</v>
      </c>
      <c r="C47" s="35" t="s">
        <v>334</v>
      </c>
      <c r="D47" s="17" t="s">
        <v>32</v>
      </c>
      <c r="E47" s="17" t="s">
        <v>150</v>
      </c>
      <c r="F47" s="18">
        <v>4775</v>
      </c>
      <c r="G47" s="18">
        <v>173</v>
      </c>
      <c r="H47" s="18">
        <v>206</v>
      </c>
      <c r="I47" s="18">
        <v>47750</v>
      </c>
      <c r="J47" s="18">
        <f t="shared" si="0"/>
        <v>4948.0043141361257</v>
      </c>
      <c r="K47" s="18">
        <f t="shared" si="1"/>
        <v>5154</v>
      </c>
      <c r="L47" s="18">
        <v>47544</v>
      </c>
      <c r="M47" s="18">
        <v>187</v>
      </c>
      <c r="N47" s="19" t="s">
        <v>59</v>
      </c>
      <c r="O47" s="20"/>
      <c r="P47" s="20"/>
      <c r="Q47" s="20"/>
      <c r="R47" s="20"/>
      <c r="S47" s="22" t="s">
        <v>22</v>
      </c>
      <c r="T47" s="20" t="str">
        <f>IF(AND(C47&gt;='Campaign Metadata'!B$2,Posts!C47&lt;='Campaign Metadata'!C$2),"During","Before/After")</f>
        <v>Before/After</v>
      </c>
      <c r="U47" s="20" t="str">
        <f>IF(AND(C47&gt;='Campaign Metadata'!B$3,Posts!C47&lt;='Campaign Metadata'!C$3),"During","Before/After")</f>
        <v>Before/After</v>
      </c>
      <c r="V47" s="20" t="str">
        <f>IF(AND(C47&gt;='Campaign Metadata'!B$4,Posts!C47&lt;='Campaign Metadata'!C$4),"During","Before/After")</f>
        <v>Before/After</v>
      </c>
      <c r="W47" s="50" t="str">
        <f>IF(AND(C47&gt;='Campaign Metadata'!B$5,Posts!C47&lt;='Campaign Metadata'!C$5),"During","Before/After")</f>
        <v>Before/After</v>
      </c>
    </row>
    <row r="48" spans="1:23" x14ac:dyDescent="0.25">
      <c r="A48" s="49" t="s">
        <v>282</v>
      </c>
      <c r="B48" s="92" t="s">
        <v>30</v>
      </c>
      <c r="C48" s="35" t="s">
        <v>251</v>
      </c>
      <c r="D48" s="17" t="s">
        <v>32</v>
      </c>
      <c r="E48" s="17" t="s">
        <v>33</v>
      </c>
      <c r="F48" s="18">
        <v>4363</v>
      </c>
      <c r="G48" s="18">
        <v>649</v>
      </c>
      <c r="H48" s="18">
        <v>140</v>
      </c>
      <c r="I48" s="18">
        <v>21815</v>
      </c>
      <c r="J48" s="18">
        <f t="shared" si="0"/>
        <v>5012.0064176025671</v>
      </c>
      <c r="K48" s="18">
        <f t="shared" si="1"/>
        <v>5152</v>
      </c>
      <c r="L48" s="18">
        <v>21481</v>
      </c>
      <c r="M48" s="18">
        <v>157</v>
      </c>
      <c r="N48" s="19" t="s">
        <v>34</v>
      </c>
      <c r="O48" s="20"/>
      <c r="P48" s="20"/>
      <c r="Q48" s="20"/>
      <c r="R48" s="20"/>
      <c r="S48" s="21" t="s">
        <v>17</v>
      </c>
      <c r="T48" s="20" t="str">
        <f>IF(AND(C48&gt;='Campaign Metadata'!B$2,Posts!C48&lt;='Campaign Metadata'!C$2),"During","Before/After")</f>
        <v>Before/After</v>
      </c>
      <c r="U48" s="20" t="str">
        <f>IF(AND(C48&gt;='Campaign Metadata'!B$3,Posts!C48&lt;='Campaign Metadata'!C$3),"During","Before/After")</f>
        <v>Before/After</v>
      </c>
      <c r="V48" s="20" t="str">
        <f>IF(AND(C48&gt;='Campaign Metadata'!B$4,Posts!C48&lt;='Campaign Metadata'!C$4),"During","Before/After")</f>
        <v>Before/After</v>
      </c>
      <c r="W48" s="50" t="str">
        <f>IF(AND(C48&gt;='Campaign Metadata'!B$5,Posts!C48&lt;='Campaign Metadata'!C$5),"During","Before/After")</f>
        <v>Before/After</v>
      </c>
    </row>
    <row r="49" spans="1:23" x14ac:dyDescent="0.25">
      <c r="A49" s="49" t="s">
        <v>393</v>
      </c>
      <c r="B49" s="92" t="s">
        <v>24</v>
      </c>
      <c r="C49" s="35" t="s">
        <v>267</v>
      </c>
      <c r="D49" s="17" t="s">
        <v>32</v>
      </c>
      <c r="E49" s="17" t="s">
        <v>150</v>
      </c>
      <c r="F49" s="18">
        <v>4350</v>
      </c>
      <c r="G49" s="18">
        <v>771</v>
      </c>
      <c r="H49" s="18">
        <v>7</v>
      </c>
      <c r="I49" s="18">
        <v>60900</v>
      </c>
      <c r="J49" s="18">
        <f t="shared" si="0"/>
        <v>5121.0001149425289</v>
      </c>
      <c r="K49" s="18">
        <f t="shared" si="1"/>
        <v>5128</v>
      </c>
      <c r="L49" s="18">
        <v>60592</v>
      </c>
      <c r="M49" s="18">
        <v>195</v>
      </c>
      <c r="N49" s="19" t="s">
        <v>34</v>
      </c>
      <c r="O49" s="20"/>
      <c r="P49" s="20"/>
      <c r="Q49" s="20"/>
      <c r="R49" s="20"/>
      <c r="S49" s="21" t="s">
        <v>17</v>
      </c>
      <c r="T49" s="20" t="str">
        <f>IF(AND(C49&gt;='Campaign Metadata'!B$2,Posts!C49&lt;='Campaign Metadata'!C$2),"During","Before/After")</f>
        <v>Before/After</v>
      </c>
      <c r="U49" s="20" t="str">
        <f>IF(AND(C49&gt;='Campaign Metadata'!B$3,Posts!C49&lt;='Campaign Metadata'!C$3),"During","Before/After")</f>
        <v>Before/After</v>
      </c>
      <c r="V49" s="20" t="str">
        <f>IF(AND(C49&gt;='Campaign Metadata'!B$4,Posts!C49&lt;='Campaign Metadata'!C$4),"During","Before/After")</f>
        <v>During</v>
      </c>
      <c r="W49" s="50" t="str">
        <f>IF(AND(C49&gt;='Campaign Metadata'!B$5,Posts!C49&lt;='Campaign Metadata'!C$5),"During","Before/After")</f>
        <v>Before/After</v>
      </c>
    </row>
    <row r="50" spans="1:23" x14ac:dyDescent="0.25">
      <c r="A50" s="49" t="s">
        <v>500</v>
      </c>
      <c r="B50" s="92" t="s">
        <v>40</v>
      </c>
      <c r="C50" s="35" t="s">
        <v>125</v>
      </c>
      <c r="D50" s="17" t="s">
        <v>32</v>
      </c>
      <c r="E50" s="17" t="s">
        <v>68</v>
      </c>
      <c r="F50" s="18">
        <v>4182</v>
      </c>
      <c r="G50" s="18">
        <v>640</v>
      </c>
      <c r="H50" s="18">
        <v>240</v>
      </c>
      <c r="I50" s="18">
        <v>50184</v>
      </c>
      <c r="J50" s="18">
        <f t="shared" si="0"/>
        <v>4822.0047824007652</v>
      </c>
      <c r="K50" s="18">
        <f t="shared" si="1"/>
        <v>5062</v>
      </c>
      <c r="L50" s="18">
        <v>49351</v>
      </c>
      <c r="M50" s="18">
        <v>10</v>
      </c>
      <c r="N50" s="19" t="s">
        <v>27</v>
      </c>
      <c r="O50" s="20"/>
      <c r="P50" s="20"/>
      <c r="Q50" s="20"/>
      <c r="R50" s="20"/>
      <c r="S50" s="22" t="s">
        <v>28</v>
      </c>
      <c r="T50" s="20" t="str">
        <f>IF(AND(C50&gt;='Campaign Metadata'!B$2,Posts!C50&lt;='Campaign Metadata'!C$2),"During","Before/After")</f>
        <v>Before/After</v>
      </c>
      <c r="U50" s="20" t="str">
        <f>IF(AND(C50&gt;='Campaign Metadata'!B$3,Posts!C50&lt;='Campaign Metadata'!C$3),"During","Before/After")</f>
        <v>Before/After</v>
      </c>
      <c r="V50" s="20" t="str">
        <f>IF(AND(C50&gt;='Campaign Metadata'!B$4,Posts!C50&lt;='Campaign Metadata'!C$4),"During","Before/After")</f>
        <v>Before/After</v>
      </c>
      <c r="W50" s="50" t="str">
        <f>IF(AND(C50&gt;='Campaign Metadata'!B$5,Posts!C50&lt;='Campaign Metadata'!C$5),"During","Before/After")</f>
        <v>Before/After</v>
      </c>
    </row>
    <row r="51" spans="1:23" x14ac:dyDescent="0.25">
      <c r="A51" s="49" t="s">
        <v>467</v>
      </c>
      <c r="B51" s="92" t="s">
        <v>40</v>
      </c>
      <c r="C51" s="35" t="s">
        <v>468</v>
      </c>
      <c r="D51" s="17" t="s">
        <v>15</v>
      </c>
      <c r="E51" s="17" t="s">
        <v>62</v>
      </c>
      <c r="F51" s="18">
        <v>4134</v>
      </c>
      <c r="G51" s="18">
        <v>824</v>
      </c>
      <c r="H51" s="18">
        <v>99</v>
      </c>
      <c r="I51" s="18">
        <v>41340</v>
      </c>
      <c r="J51" s="18">
        <f t="shared" si="0"/>
        <v>4958.002394775036</v>
      </c>
      <c r="K51" s="18">
        <f t="shared" si="1"/>
        <v>5057</v>
      </c>
      <c r="L51" s="18">
        <v>41050</v>
      </c>
      <c r="M51" s="18">
        <v>177</v>
      </c>
      <c r="N51" s="19" t="s">
        <v>34</v>
      </c>
      <c r="O51" s="20"/>
      <c r="P51" s="20"/>
      <c r="Q51" s="20"/>
      <c r="R51" s="20"/>
      <c r="S51" s="21" t="s">
        <v>17</v>
      </c>
      <c r="T51" s="20" t="str">
        <f>IF(AND(C51&gt;='Campaign Metadata'!B$2,Posts!C51&lt;='Campaign Metadata'!C$2),"During","Before/After")</f>
        <v>Before/After</v>
      </c>
      <c r="U51" s="20" t="str">
        <f>IF(AND(C51&gt;='Campaign Metadata'!B$3,Posts!C51&lt;='Campaign Metadata'!C$3),"During","Before/After")</f>
        <v>Before/After</v>
      </c>
      <c r="V51" s="20" t="str">
        <f>IF(AND(C51&gt;='Campaign Metadata'!B$4,Posts!C51&lt;='Campaign Metadata'!C$4),"During","Before/After")</f>
        <v>Before/After</v>
      </c>
      <c r="W51" s="50" t="str">
        <f>IF(AND(C51&gt;='Campaign Metadata'!B$5,Posts!C51&lt;='Campaign Metadata'!C$5),"During","Before/After")</f>
        <v>Before/After</v>
      </c>
    </row>
    <row r="52" spans="1:23" x14ac:dyDescent="0.25">
      <c r="A52" s="49" t="s">
        <v>504</v>
      </c>
      <c r="B52" s="92" t="s">
        <v>30</v>
      </c>
      <c r="C52" s="35" t="s">
        <v>505</v>
      </c>
      <c r="D52" s="17" t="s">
        <v>71</v>
      </c>
      <c r="E52" s="17" t="s">
        <v>82</v>
      </c>
      <c r="F52" s="18">
        <v>4561</v>
      </c>
      <c r="G52" s="18">
        <v>51</v>
      </c>
      <c r="H52" s="18">
        <v>441</v>
      </c>
      <c r="I52" s="18">
        <v>22805</v>
      </c>
      <c r="J52" s="18">
        <f t="shared" si="0"/>
        <v>4612.0193378645035</v>
      </c>
      <c r="K52" s="18">
        <f t="shared" si="1"/>
        <v>5053</v>
      </c>
      <c r="L52" s="18">
        <v>21890</v>
      </c>
      <c r="M52" s="18">
        <v>45</v>
      </c>
      <c r="N52" s="19" t="s">
        <v>27</v>
      </c>
      <c r="O52" s="20"/>
      <c r="P52" s="20"/>
      <c r="Q52" s="20"/>
      <c r="R52" s="20"/>
      <c r="S52" s="22" t="s">
        <v>22</v>
      </c>
      <c r="T52" s="20" t="str">
        <f>IF(AND(C52&gt;='Campaign Metadata'!B$2,Posts!C52&lt;='Campaign Metadata'!C$2),"During","Before/After")</f>
        <v>Before/After</v>
      </c>
      <c r="U52" s="20" t="str">
        <f>IF(AND(C52&gt;='Campaign Metadata'!B$3,Posts!C52&lt;='Campaign Metadata'!C$3),"During","Before/After")</f>
        <v>Before/After</v>
      </c>
      <c r="V52" s="20" t="str">
        <f>IF(AND(C52&gt;='Campaign Metadata'!B$4,Posts!C52&lt;='Campaign Metadata'!C$4),"During","Before/After")</f>
        <v>Before/After</v>
      </c>
      <c r="W52" s="50" t="str">
        <f>IF(AND(C52&gt;='Campaign Metadata'!B$5,Posts!C52&lt;='Campaign Metadata'!C$5),"During","Before/After")</f>
        <v>Before/After</v>
      </c>
    </row>
    <row r="53" spans="1:23" x14ac:dyDescent="0.25">
      <c r="A53" s="49" t="s">
        <v>549</v>
      </c>
      <c r="B53" s="92" t="s">
        <v>40</v>
      </c>
      <c r="C53" s="35" t="s">
        <v>70</v>
      </c>
      <c r="D53" s="17" t="s">
        <v>49</v>
      </c>
      <c r="E53" s="17" t="s">
        <v>56</v>
      </c>
      <c r="F53" s="18">
        <v>4303</v>
      </c>
      <c r="G53" s="18">
        <v>451</v>
      </c>
      <c r="H53" s="18">
        <v>286</v>
      </c>
      <c r="I53" s="18">
        <v>86060</v>
      </c>
      <c r="J53" s="18">
        <f t="shared" si="0"/>
        <v>4754.0033232628402</v>
      </c>
      <c r="K53" s="18">
        <f t="shared" si="1"/>
        <v>5040</v>
      </c>
      <c r="L53" s="18">
        <v>85823</v>
      </c>
      <c r="M53" s="18">
        <v>14</v>
      </c>
      <c r="N53" s="19" t="s">
        <v>27</v>
      </c>
      <c r="O53" s="20"/>
      <c r="P53" s="20"/>
      <c r="Q53" s="20"/>
      <c r="R53" s="20"/>
      <c r="S53" s="22" t="s">
        <v>28</v>
      </c>
      <c r="T53" s="20" t="str">
        <f>IF(AND(C53&gt;='Campaign Metadata'!B$2,Posts!C53&lt;='Campaign Metadata'!C$2),"During","Before/After")</f>
        <v>Before/After</v>
      </c>
      <c r="U53" s="20" t="str">
        <f>IF(AND(C53&gt;='Campaign Metadata'!B$3,Posts!C53&lt;='Campaign Metadata'!C$3),"During","Before/After")</f>
        <v>Before/After</v>
      </c>
      <c r="V53" s="20" t="str">
        <f>IF(AND(C53&gt;='Campaign Metadata'!B$4,Posts!C53&lt;='Campaign Metadata'!C$4),"During","Before/After")</f>
        <v>During</v>
      </c>
      <c r="W53" s="50" t="str">
        <f>IF(AND(C53&gt;='Campaign Metadata'!B$5,Posts!C53&lt;='Campaign Metadata'!C$5),"During","Before/After")</f>
        <v>Before/After</v>
      </c>
    </row>
    <row r="54" spans="1:23" x14ac:dyDescent="0.25">
      <c r="A54" s="49" t="s">
        <v>192</v>
      </c>
      <c r="B54" s="92" t="s">
        <v>40</v>
      </c>
      <c r="C54" s="35" t="s">
        <v>193</v>
      </c>
      <c r="D54" s="17" t="s">
        <v>32</v>
      </c>
      <c r="E54" s="17" t="s">
        <v>68</v>
      </c>
      <c r="F54" s="18">
        <v>4126</v>
      </c>
      <c r="G54" s="18">
        <v>426</v>
      </c>
      <c r="H54" s="18">
        <v>486</v>
      </c>
      <c r="I54" s="18">
        <v>78394</v>
      </c>
      <c r="J54" s="18">
        <f t="shared" si="0"/>
        <v>4552.0061994540401</v>
      </c>
      <c r="K54" s="18">
        <f t="shared" si="1"/>
        <v>5038</v>
      </c>
      <c r="L54" s="18">
        <v>77798</v>
      </c>
      <c r="M54" s="18">
        <v>88</v>
      </c>
      <c r="N54" s="19" t="s">
        <v>59</v>
      </c>
      <c r="O54" s="20"/>
      <c r="P54" s="20"/>
      <c r="Q54" s="20"/>
      <c r="R54" s="20"/>
      <c r="S54" s="22" t="s">
        <v>35</v>
      </c>
      <c r="T54" s="20" t="str">
        <f>IF(AND(C54&gt;='Campaign Metadata'!B$2,Posts!C54&lt;='Campaign Metadata'!C$2),"During","Before/After")</f>
        <v>Before/After</v>
      </c>
      <c r="U54" s="20" t="str">
        <f>IF(AND(C54&gt;='Campaign Metadata'!B$3,Posts!C54&lt;='Campaign Metadata'!C$3),"During","Before/After")</f>
        <v>Before/After</v>
      </c>
      <c r="V54" s="20" t="str">
        <f>IF(AND(C54&gt;='Campaign Metadata'!B$4,Posts!C54&lt;='Campaign Metadata'!C$4),"During","Before/After")</f>
        <v>During</v>
      </c>
      <c r="W54" s="50" t="str">
        <f>IF(AND(C54&gt;='Campaign Metadata'!B$5,Posts!C54&lt;='Campaign Metadata'!C$5),"During","Before/After")</f>
        <v>Before/After</v>
      </c>
    </row>
    <row r="55" spans="1:23" x14ac:dyDescent="0.25">
      <c r="A55" s="49" t="s">
        <v>537</v>
      </c>
      <c r="B55" s="92" t="s">
        <v>40</v>
      </c>
      <c r="C55" s="35" t="s">
        <v>91</v>
      </c>
      <c r="D55" s="17" t="s">
        <v>71</v>
      </c>
      <c r="E55" s="17" t="s">
        <v>72</v>
      </c>
      <c r="F55" s="18">
        <v>4663</v>
      </c>
      <c r="G55" s="18">
        <v>145</v>
      </c>
      <c r="H55" s="18">
        <v>225</v>
      </c>
      <c r="I55" s="18">
        <v>69945</v>
      </c>
      <c r="J55" s="18">
        <f t="shared" si="0"/>
        <v>4808.0032168132102</v>
      </c>
      <c r="K55" s="18">
        <f t="shared" si="1"/>
        <v>5033</v>
      </c>
      <c r="L55" s="18">
        <v>69596</v>
      </c>
      <c r="M55" s="18">
        <v>35</v>
      </c>
      <c r="N55" s="19" t="s">
        <v>34</v>
      </c>
      <c r="O55" s="20"/>
      <c r="P55" s="20"/>
      <c r="Q55" s="20"/>
      <c r="R55" s="20"/>
      <c r="S55" s="22" t="s">
        <v>35</v>
      </c>
      <c r="T55" s="20" t="str">
        <f>IF(AND(C55&gt;='Campaign Metadata'!B$2,Posts!C55&lt;='Campaign Metadata'!C$2),"During","Before/After")</f>
        <v>Before/After</v>
      </c>
      <c r="U55" s="20" t="str">
        <f>IF(AND(C55&gt;='Campaign Metadata'!B$3,Posts!C55&lt;='Campaign Metadata'!C$3),"During","Before/After")</f>
        <v>Before/After</v>
      </c>
      <c r="V55" s="20" t="str">
        <f>IF(AND(C55&gt;='Campaign Metadata'!B$4,Posts!C55&lt;='Campaign Metadata'!C$4),"During","Before/After")</f>
        <v>Before/After</v>
      </c>
      <c r="W55" s="50" t="str">
        <f>IF(AND(C55&gt;='Campaign Metadata'!B$5,Posts!C55&lt;='Campaign Metadata'!C$5),"During","Before/After")</f>
        <v>Before/After</v>
      </c>
    </row>
    <row r="56" spans="1:23" x14ac:dyDescent="0.25">
      <c r="A56" s="49" t="s">
        <v>438</v>
      </c>
      <c r="B56" s="92" t="s">
        <v>13</v>
      </c>
      <c r="C56" s="35" t="s">
        <v>366</v>
      </c>
      <c r="D56" s="17" t="s">
        <v>42</v>
      </c>
      <c r="E56" s="17" t="s">
        <v>46</v>
      </c>
      <c r="F56" s="18">
        <v>4672</v>
      </c>
      <c r="G56" s="18">
        <v>325</v>
      </c>
      <c r="H56" s="18">
        <v>32</v>
      </c>
      <c r="I56" s="18">
        <v>88768</v>
      </c>
      <c r="J56" s="18">
        <f t="shared" si="0"/>
        <v>4997.0003604902668</v>
      </c>
      <c r="K56" s="18">
        <f t="shared" si="1"/>
        <v>5029</v>
      </c>
      <c r="L56" s="18">
        <v>87833</v>
      </c>
      <c r="M56" s="18">
        <v>118</v>
      </c>
      <c r="N56" s="19" t="s">
        <v>34</v>
      </c>
      <c r="O56" s="20"/>
      <c r="P56" s="20"/>
      <c r="Q56" s="20"/>
      <c r="R56" s="20"/>
      <c r="S56" s="22"/>
      <c r="T56" s="20" t="str">
        <f>IF(AND(C56&gt;='Campaign Metadata'!B$2,Posts!C56&lt;='Campaign Metadata'!C$2),"During","Before/After")</f>
        <v>During</v>
      </c>
      <c r="U56" s="20" t="str">
        <f>IF(AND(C56&gt;='Campaign Metadata'!B$3,Posts!C56&lt;='Campaign Metadata'!C$3),"During","Before/After")</f>
        <v>Before/After</v>
      </c>
      <c r="V56" s="20" t="str">
        <f>IF(AND(C56&gt;='Campaign Metadata'!B$4,Posts!C56&lt;='Campaign Metadata'!C$4),"During","Before/After")</f>
        <v>Before/After</v>
      </c>
      <c r="W56" s="50" t="str">
        <f>IF(AND(C56&gt;='Campaign Metadata'!B$5,Posts!C56&lt;='Campaign Metadata'!C$5),"During","Before/After")</f>
        <v>Before/After</v>
      </c>
    </row>
    <row r="57" spans="1:23" x14ac:dyDescent="0.25">
      <c r="A57" s="49" t="s">
        <v>266</v>
      </c>
      <c r="B57" s="92" t="s">
        <v>13</v>
      </c>
      <c r="C57" s="35" t="s">
        <v>267</v>
      </c>
      <c r="D57" s="17" t="s">
        <v>42</v>
      </c>
      <c r="E57" s="17" t="s">
        <v>46</v>
      </c>
      <c r="F57" s="18">
        <v>4419</v>
      </c>
      <c r="G57" s="18">
        <v>236</v>
      </c>
      <c r="H57" s="18">
        <v>369</v>
      </c>
      <c r="I57" s="18">
        <v>44190</v>
      </c>
      <c r="J57" s="18">
        <f t="shared" si="0"/>
        <v>4655.0083503054993</v>
      </c>
      <c r="K57" s="18">
        <f t="shared" si="1"/>
        <v>5024</v>
      </c>
      <c r="L57" s="18">
        <v>43582</v>
      </c>
      <c r="M57" s="18">
        <v>10</v>
      </c>
      <c r="N57" s="19" t="s">
        <v>34</v>
      </c>
      <c r="O57" s="20"/>
      <c r="P57" s="20"/>
      <c r="Q57" s="20"/>
      <c r="R57" s="20"/>
      <c r="S57" s="21" t="s">
        <v>17</v>
      </c>
      <c r="T57" s="20" t="str">
        <f>IF(AND(C57&gt;='Campaign Metadata'!B$2,Posts!C57&lt;='Campaign Metadata'!C$2),"During","Before/After")</f>
        <v>Before/After</v>
      </c>
      <c r="U57" s="20" t="str">
        <f>IF(AND(C57&gt;='Campaign Metadata'!B$3,Posts!C57&lt;='Campaign Metadata'!C$3),"During","Before/After")</f>
        <v>Before/After</v>
      </c>
      <c r="V57" s="20" t="str">
        <f>IF(AND(C57&gt;='Campaign Metadata'!B$4,Posts!C57&lt;='Campaign Metadata'!C$4),"During","Before/After")</f>
        <v>During</v>
      </c>
      <c r="W57" s="50" t="str">
        <f>IF(AND(C57&gt;='Campaign Metadata'!B$5,Posts!C57&lt;='Campaign Metadata'!C$5),"During","Before/After")</f>
        <v>Before/After</v>
      </c>
    </row>
    <row r="58" spans="1:23" x14ac:dyDescent="0.25">
      <c r="A58" s="49" t="s">
        <v>75</v>
      </c>
      <c r="B58" s="92" t="s">
        <v>40</v>
      </c>
      <c r="C58" s="35" t="s">
        <v>76</v>
      </c>
      <c r="D58" s="17" t="s">
        <v>20</v>
      </c>
      <c r="E58" s="17" t="s">
        <v>53</v>
      </c>
      <c r="F58" s="18">
        <v>4441</v>
      </c>
      <c r="G58" s="18">
        <v>511</v>
      </c>
      <c r="H58" s="18">
        <v>70</v>
      </c>
      <c r="I58" s="18">
        <v>53292</v>
      </c>
      <c r="J58" s="18">
        <f t="shared" si="0"/>
        <v>4952.0013135179761</v>
      </c>
      <c r="K58" s="18">
        <f t="shared" si="1"/>
        <v>5022</v>
      </c>
      <c r="L58" s="18">
        <v>53082</v>
      </c>
      <c r="M58" s="18">
        <v>159</v>
      </c>
      <c r="N58" s="19" t="s">
        <v>34</v>
      </c>
      <c r="O58" s="20"/>
      <c r="P58" s="20"/>
      <c r="Q58" s="20"/>
      <c r="R58" s="20"/>
      <c r="S58" s="22" t="s">
        <v>35</v>
      </c>
      <c r="T58" s="20" t="str">
        <f>IF(AND(C58&gt;='Campaign Metadata'!B$2,Posts!C58&lt;='Campaign Metadata'!C$2),"During","Before/After")</f>
        <v>Before/After</v>
      </c>
      <c r="U58" s="20" t="str">
        <f>IF(AND(C58&gt;='Campaign Metadata'!B$3,Posts!C58&lt;='Campaign Metadata'!C$3),"During","Before/After")</f>
        <v>Before/After</v>
      </c>
      <c r="V58" s="20" t="str">
        <f>IF(AND(C58&gt;='Campaign Metadata'!B$4,Posts!C58&lt;='Campaign Metadata'!C$4),"During","Before/After")</f>
        <v>Before/After</v>
      </c>
      <c r="W58" s="50" t="str">
        <f>IF(AND(C58&gt;='Campaign Metadata'!B$5,Posts!C58&lt;='Campaign Metadata'!C$5),"During","Before/After")</f>
        <v>Before/After</v>
      </c>
    </row>
    <row r="59" spans="1:23" x14ac:dyDescent="0.25">
      <c r="A59" s="49" t="s">
        <v>475</v>
      </c>
      <c r="B59" s="92" t="s">
        <v>40</v>
      </c>
      <c r="C59" s="35" t="s">
        <v>167</v>
      </c>
      <c r="D59" s="17" t="s">
        <v>15</v>
      </c>
      <c r="E59" s="17" t="s">
        <v>62</v>
      </c>
      <c r="F59" s="18">
        <v>3813</v>
      </c>
      <c r="G59" s="18">
        <v>935</v>
      </c>
      <c r="H59" s="18">
        <v>274</v>
      </c>
      <c r="I59" s="18">
        <v>68634</v>
      </c>
      <c r="J59" s="18">
        <f t="shared" si="0"/>
        <v>4748.0039921904599</v>
      </c>
      <c r="K59" s="18">
        <f t="shared" si="1"/>
        <v>5022</v>
      </c>
      <c r="L59" s="18">
        <v>68488</v>
      </c>
      <c r="M59" s="18">
        <v>251</v>
      </c>
      <c r="N59" s="19" t="s">
        <v>59</v>
      </c>
      <c r="O59" s="20"/>
      <c r="P59" s="20"/>
      <c r="Q59" s="20"/>
      <c r="R59" s="20"/>
      <c r="S59" s="22"/>
      <c r="T59" s="20" t="str">
        <f>IF(AND(C59&gt;='Campaign Metadata'!B$2,Posts!C59&lt;='Campaign Metadata'!C$2),"During","Before/After")</f>
        <v>During</v>
      </c>
      <c r="U59" s="20" t="str">
        <f>IF(AND(C59&gt;='Campaign Metadata'!B$3,Posts!C59&lt;='Campaign Metadata'!C$3),"During","Before/After")</f>
        <v>Before/After</v>
      </c>
      <c r="V59" s="20" t="str">
        <f>IF(AND(C59&gt;='Campaign Metadata'!B$4,Posts!C59&lt;='Campaign Metadata'!C$4),"During","Before/After")</f>
        <v>Before/After</v>
      </c>
      <c r="W59" s="50" t="str">
        <f>IF(AND(C59&gt;='Campaign Metadata'!B$5,Posts!C59&lt;='Campaign Metadata'!C$5),"During","Before/After")</f>
        <v>Before/After</v>
      </c>
    </row>
    <row r="60" spans="1:23" x14ac:dyDescent="0.25">
      <c r="A60" s="49" t="s">
        <v>502</v>
      </c>
      <c r="B60" s="92" t="s">
        <v>30</v>
      </c>
      <c r="C60" s="35" t="s">
        <v>503</v>
      </c>
      <c r="D60" s="17" t="s">
        <v>15</v>
      </c>
      <c r="E60" s="17" t="s">
        <v>79</v>
      </c>
      <c r="F60" s="18">
        <v>4579</v>
      </c>
      <c r="G60" s="18">
        <v>125</v>
      </c>
      <c r="H60" s="18">
        <v>300</v>
      </c>
      <c r="I60" s="18">
        <v>59527</v>
      </c>
      <c r="J60" s="18">
        <f t="shared" si="0"/>
        <v>4704.0050397298701</v>
      </c>
      <c r="K60" s="18">
        <f t="shared" si="1"/>
        <v>5004</v>
      </c>
      <c r="L60" s="18">
        <v>59400</v>
      </c>
      <c r="M60" s="18">
        <v>269</v>
      </c>
      <c r="N60" s="19" t="s">
        <v>34</v>
      </c>
      <c r="O60" s="20"/>
      <c r="P60" s="20"/>
      <c r="Q60" s="20"/>
      <c r="R60" s="20"/>
      <c r="S60" s="21" t="s">
        <v>17</v>
      </c>
      <c r="T60" s="20" t="str">
        <f>IF(AND(C60&gt;='Campaign Metadata'!B$2,Posts!C60&lt;='Campaign Metadata'!C$2),"During","Before/After")</f>
        <v>Before/After</v>
      </c>
      <c r="U60" s="20" t="str">
        <f>IF(AND(C60&gt;='Campaign Metadata'!B$3,Posts!C60&lt;='Campaign Metadata'!C$3),"During","Before/After")</f>
        <v>Before/After</v>
      </c>
      <c r="V60" s="20" t="str">
        <f>IF(AND(C60&gt;='Campaign Metadata'!B$4,Posts!C60&lt;='Campaign Metadata'!C$4),"During","Before/After")</f>
        <v>Before/After</v>
      </c>
      <c r="W60" s="50" t="str">
        <f>IF(AND(C60&gt;='Campaign Metadata'!B$5,Posts!C60&lt;='Campaign Metadata'!C$5),"During","Before/After")</f>
        <v>Before/After</v>
      </c>
    </row>
    <row r="61" spans="1:23" x14ac:dyDescent="0.25">
      <c r="A61" s="49" t="s">
        <v>51</v>
      </c>
      <c r="B61" s="92" t="s">
        <v>40</v>
      </c>
      <c r="C61" s="35" t="s">
        <v>52</v>
      </c>
      <c r="D61" s="17" t="s">
        <v>20</v>
      </c>
      <c r="E61" s="17" t="s">
        <v>53</v>
      </c>
      <c r="F61" s="18">
        <v>3784</v>
      </c>
      <c r="G61" s="18">
        <v>808</v>
      </c>
      <c r="H61" s="18">
        <v>404</v>
      </c>
      <c r="I61" s="18">
        <v>56760</v>
      </c>
      <c r="J61" s="18">
        <f t="shared" si="0"/>
        <v>4592.0071176885131</v>
      </c>
      <c r="K61" s="18">
        <f t="shared" si="1"/>
        <v>4996</v>
      </c>
      <c r="L61" s="18">
        <v>56343</v>
      </c>
      <c r="M61" s="18">
        <v>131</v>
      </c>
      <c r="N61" s="19" t="s">
        <v>27</v>
      </c>
      <c r="O61" s="20"/>
      <c r="P61" s="20"/>
      <c r="Q61" s="20"/>
      <c r="R61" s="20"/>
      <c r="S61" s="22" t="s">
        <v>22</v>
      </c>
      <c r="T61" s="20" t="str">
        <f>IF(AND(C61&gt;='Campaign Metadata'!B$2,Posts!C61&lt;='Campaign Metadata'!C$2),"During","Before/After")</f>
        <v>Before/After</v>
      </c>
      <c r="U61" s="20" t="str">
        <f>IF(AND(C61&gt;='Campaign Metadata'!B$3,Posts!C61&lt;='Campaign Metadata'!C$3),"During","Before/After")</f>
        <v>Before/After</v>
      </c>
      <c r="V61" s="20" t="str">
        <f>IF(AND(C61&gt;='Campaign Metadata'!B$4,Posts!C61&lt;='Campaign Metadata'!C$4),"During","Before/After")</f>
        <v>Before/After</v>
      </c>
      <c r="W61" s="50" t="str">
        <f>IF(AND(C61&gt;='Campaign Metadata'!B$5,Posts!C61&lt;='Campaign Metadata'!C$5),"During","Before/After")</f>
        <v>Before/After</v>
      </c>
    </row>
    <row r="62" spans="1:23" x14ac:dyDescent="0.25">
      <c r="A62" s="49" t="s">
        <v>432</v>
      </c>
      <c r="B62" s="92" t="s">
        <v>40</v>
      </c>
      <c r="C62" s="35" t="s">
        <v>249</v>
      </c>
      <c r="D62" s="17" t="s">
        <v>71</v>
      </c>
      <c r="E62" s="17" t="s">
        <v>72</v>
      </c>
      <c r="F62" s="18">
        <v>4453</v>
      </c>
      <c r="G62" s="18">
        <v>111</v>
      </c>
      <c r="H62" s="18">
        <v>420</v>
      </c>
      <c r="I62" s="18">
        <v>31171</v>
      </c>
      <c r="J62" s="18">
        <f t="shared" si="0"/>
        <v>4564.0134740624299</v>
      </c>
      <c r="K62" s="18">
        <f t="shared" si="1"/>
        <v>4984</v>
      </c>
      <c r="L62" s="18">
        <v>30565</v>
      </c>
      <c r="M62" s="18">
        <v>23</v>
      </c>
      <c r="N62" s="19" t="s">
        <v>27</v>
      </c>
      <c r="O62" s="20"/>
      <c r="P62" s="20"/>
      <c r="Q62" s="20"/>
      <c r="R62" s="20"/>
      <c r="S62" s="22"/>
      <c r="T62" s="20" t="str">
        <f>IF(AND(C62&gt;='Campaign Metadata'!B$2,Posts!C62&lt;='Campaign Metadata'!C$2),"During","Before/After")</f>
        <v>Before/After</v>
      </c>
      <c r="U62" s="20" t="str">
        <f>IF(AND(C62&gt;='Campaign Metadata'!B$3,Posts!C62&lt;='Campaign Metadata'!C$3),"During","Before/After")</f>
        <v>During</v>
      </c>
      <c r="V62" s="20" t="str">
        <f>IF(AND(C62&gt;='Campaign Metadata'!B$4,Posts!C62&lt;='Campaign Metadata'!C$4),"During","Before/After")</f>
        <v>Before/After</v>
      </c>
      <c r="W62" s="50" t="str">
        <f>IF(AND(C62&gt;='Campaign Metadata'!B$5,Posts!C62&lt;='Campaign Metadata'!C$5),"During","Before/After")</f>
        <v>Before/After</v>
      </c>
    </row>
    <row r="63" spans="1:23" x14ac:dyDescent="0.25">
      <c r="A63" s="49" t="s">
        <v>18</v>
      </c>
      <c r="B63" s="92" t="s">
        <v>13</v>
      </c>
      <c r="C63" s="35" t="s">
        <v>19</v>
      </c>
      <c r="D63" s="17" t="s">
        <v>20</v>
      </c>
      <c r="E63" s="17" t="s">
        <v>21</v>
      </c>
      <c r="F63" s="18">
        <v>4054</v>
      </c>
      <c r="G63" s="18">
        <v>389</v>
      </c>
      <c r="H63" s="18">
        <v>493</v>
      </c>
      <c r="I63" s="18">
        <v>64864</v>
      </c>
      <c r="J63" s="18">
        <f t="shared" si="0"/>
        <v>4443.0076005180072</v>
      </c>
      <c r="K63" s="18">
        <f t="shared" si="1"/>
        <v>4936</v>
      </c>
      <c r="L63" s="18">
        <v>64383</v>
      </c>
      <c r="M63" s="18">
        <v>117</v>
      </c>
      <c r="N63" s="19" t="s">
        <v>27</v>
      </c>
      <c r="O63" s="20" t="s">
        <v>598</v>
      </c>
      <c r="P63" s="20"/>
      <c r="Q63" s="20"/>
      <c r="R63" s="20"/>
      <c r="S63" s="22" t="s">
        <v>22</v>
      </c>
      <c r="T63" s="20" t="str">
        <f>IF(AND(C63&gt;='Campaign Metadata'!B$2,Posts!C63&lt;='Campaign Metadata'!C$2),"During","Before/After")</f>
        <v>Before/After</v>
      </c>
      <c r="U63" s="20" t="str">
        <f>IF(AND(C63&gt;='Campaign Metadata'!B$3,Posts!C63&lt;='Campaign Metadata'!C$3),"During","Before/After")</f>
        <v>Before/After</v>
      </c>
      <c r="V63" s="20" t="str">
        <f>IF(AND(C63&gt;='Campaign Metadata'!B$4,Posts!C63&lt;='Campaign Metadata'!C$4),"During","Before/After")</f>
        <v>Before/After</v>
      </c>
      <c r="W63" s="50" t="str">
        <f>IF(AND(C63&gt;='Campaign Metadata'!B$5,Posts!C63&lt;='Campaign Metadata'!C$5),"During","Before/After")</f>
        <v>Before/After</v>
      </c>
    </row>
    <row r="64" spans="1:23" x14ac:dyDescent="0.25">
      <c r="A64" s="49" t="s">
        <v>66</v>
      </c>
      <c r="B64" s="92" t="s">
        <v>40</v>
      </c>
      <c r="C64" s="35" t="s">
        <v>67</v>
      </c>
      <c r="D64" s="17" t="s">
        <v>32</v>
      </c>
      <c r="E64" s="17" t="s">
        <v>68</v>
      </c>
      <c r="F64" s="18">
        <v>4242</v>
      </c>
      <c r="G64" s="18">
        <v>555</v>
      </c>
      <c r="H64" s="18">
        <v>131</v>
      </c>
      <c r="I64" s="18">
        <v>33936</v>
      </c>
      <c r="J64" s="18">
        <f t="shared" si="0"/>
        <v>4797.0038602074492</v>
      </c>
      <c r="K64" s="18">
        <f t="shared" si="1"/>
        <v>4928</v>
      </c>
      <c r="L64" s="18">
        <v>33802</v>
      </c>
      <c r="M64" s="18">
        <v>265</v>
      </c>
      <c r="N64" s="19" t="s">
        <v>59</v>
      </c>
      <c r="O64" s="20"/>
      <c r="P64" s="20"/>
      <c r="Q64" s="20"/>
      <c r="R64" s="20"/>
      <c r="S64" s="22"/>
      <c r="T64" s="20" t="str">
        <f>IF(AND(C64&gt;='Campaign Metadata'!B$2,Posts!C64&lt;='Campaign Metadata'!C$2),"During","Before/After")</f>
        <v>Before/After</v>
      </c>
      <c r="U64" s="20" t="str">
        <f>IF(AND(C64&gt;='Campaign Metadata'!B$3,Posts!C64&lt;='Campaign Metadata'!C$3),"During","Before/After")</f>
        <v>Before/After</v>
      </c>
      <c r="V64" s="20" t="str">
        <f>IF(AND(C64&gt;='Campaign Metadata'!B$4,Posts!C64&lt;='Campaign Metadata'!C$4),"During","Before/After")</f>
        <v>Before/After</v>
      </c>
      <c r="W64" s="50" t="str">
        <f>IF(AND(C64&gt;='Campaign Metadata'!B$5,Posts!C64&lt;='Campaign Metadata'!C$5),"During","Before/After")</f>
        <v>Before/After</v>
      </c>
    </row>
    <row r="65" spans="1:23" x14ac:dyDescent="0.25">
      <c r="A65" s="49" t="s">
        <v>318</v>
      </c>
      <c r="B65" s="92" t="s">
        <v>30</v>
      </c>
      <c r="C65" s="35" t="s">
        <v>165</v>
      </c>
      <c r="D65" s="17" t="s">
        <v>71</v>
      </c>
      <c r="E65" s="17" t="s">
        <v>82</v>
      </c>
      <c r="F65" s="18">
        <v>4133</v>
      </c>
      <c r="G65" s="18">
        <v>466</v>
      </c>
      <c r="H65" s="18">
        <v>327</v>
      </c>
      <c r="I65" s="18">
        <v>24798</v>
      </c>
      <c r="J65" s="18">
        <f t="shared" si="0"/>
        <v>4599.0131865473022</v>
      </c>
      <c r="K65" s="18">
        <f t="shared" si="1"/>
        <v>4926</v>
      </c>
      <c r="L65" s="18">
        <v>24620</v>
      </c>
      <c r="M65" s="18">
        <v>176</v>
      </c>
      <c r="N65" s="19" t="s">
        <v>34</v>
      </c>
      <c r="O65" s="20"/>
      <c r="P65" s="20"/>
      <c r="Q65" s="20"/>
      <c r="R65" s="20"/>
      <c r="S65" s="22" t="s">
        <v>35</v>
      </c>
      <c r="T65" s="20" t="str">
        <f>IF(AND(C65&gt;='Campaign Metadata'!B$2,Posts!C65&lt;='Campaign Metadata'!C$2),"During","Before/After")</f>
        <v>Before/After</v>
      </c>
      <c r="U65" s="20" t="str">
        <f>IF(AND(C65&gt;='Campaign Metadata'!B$3,Posts!C65&lt;='Campaign Metadata'!C$3),"During","Before/After")</f>
        <v>Before/After</v>
      </c>
      <c r="V65" s="20" t="str">
        <f>IF(AND(C65&gt;='Campaign Metadata'!B$4,Posts!C65&lt;='Campaign Metadata'!C$4),"During","Before/After")</f>
        <v>Before/After</v>
      </c>
      <c r="W65" s="50" t="str">
        <f>IF(AND(C65&gt;='Campaign Metadata'!B$5,Posts!C65&lt;='Campaign Metadata'!C$5),"During","Before/After")</f>
        <v>Before/After</v>
      </c>
    </row>
    <row r="66" spans="1:23" x14ac:dyDescent="0.25">
      <c r="A66" s="49" t="s">
        <v>224</v>
      </c>
      <c r="B66" s="92" t="s">
        <v>30</v>
      </c>
      <c r="C66" s="35" t="s">
        <v>225</v>
      </c>
      <c r="D66" s="17" t="s">
        <v>49</v>
      </c>
      <c r="E66" s="17" t="s">
        <v>209</v>
      </c>
      <c r="F66" s="18">
        <v>3861</v>
      </c>
      <c r="G66" s="18">
        <v>960</v>
      </c>
      <c r="H66" s="18">
        <v>101</v>
      </c>
      <c r="I66" s="18">
        <v>69498</v>
      </c>
      <c r="J66" s="18">
        <f t="shared" ref="J66:J129" si="2">F66+G66+H66/I66</f>
        <v>4821.0014532792311</v>
      </c>
      <c r="K66" s="18">
        <f t="shared" ref="K66:K129" si="3">F66+G66+H66</f>
        <v>4922</v>
      </c>
      <c r="L66" s="18">
        <v>68817</v>
      </c>
      <c r="M66" s="18">
        <v>297</v>
      </c>
      <c r="N66" s="19" t="s">
        <v>27</v>
      </c>
      <c r="O66" s="20"/>
      <c r="P66" s="20"/>
      <c r="Q66" s="20"/>
      <c r="R66" s="20"/>
      <c r="S66" s="22" t="s">
        <v>35</v>
      </c>
      <c r="T66" s="20" t="str">
        <f>IF(AND(C66&gt;='Campaign Metadata'!B$2,Posts!C66&lt;='Campaign Metadata'!C$2),"During","Before/After")</f>
        <v>Before/After</v>
      </c>
      <c r="U66" s="20" t="str">
        <f>IF(AND(C66&gt;='Campaign Metadata'!B$3,Posts!C66&lt;='Campaign Metadata'!C$3),"During","Before/After")</f>
        <v>Before/After</v>
      </c>
      <c r="V66" s="20" t="str">
        <f>IF(AND(C66&gt;='Campaign Metadata'!B$4,Posts!C66&lt;='Campaign Metadata'!C$4),"During","Before/After")</f>
        <v>Before/After</v>
      </c>
      <c r="W66" s="50" t="str">
        <f>IF(AND(C66&gt;='Campaign Metadata'!B$5,Posts!C66&lt;='Campaign Metadata'!C$5),"During","Before/After")</f>
        <v>Before/After</v>
      </c>
    </row>
    <row r="67" spans="1:23" x14ac:dyDescent="0.25">
      <c r="A67" s="49" t="s">
        <v>83</v>
      </c>
      <c r="B67" s="92" t="s">
        <v>30</v>
      </c>
      <c r="C67" s="35" t="s">
        <v>84</v>
      </c>
      <c r="D67" s="17" t="s">
        <v>42</v>
      </c>
      <c r="E67" s="17" t="s">
        <v>85</v>
      </c>
      <c r="F67" s="18">
        <v>4054</v>
      </c>
      <c r="G67" s="18">
        <v>488</v>
      </c>
      <c r="H67" s="18">
        <v>373</v>
      </c>
      <c r="I67" s="18">
        <v>77026</v>
      </c>
      <c r="J67" s="18">
        <f t="shared" si="2"/>
        <v>4542.0048425207069</v>
      </c>
      <c r="K67" s="18">
        <f t="shared" si="3"/>
        <v>4915</v>
      </c>
      <c r="L67" s="18">
        <v>76881</v>
      </c>
      <c r="M67" s="18">
        <v>25</v>
      </c>
      <c r="N67" s="19" t="s">
        <v>27</v>
      </c>
      <c r="O67" s="20"/>
      <c r="P67" s="20"/>
      <c r="Q67" s="20"/>
      <c r="R67" s="20"/>
      <c r="S67" s="21" t="s">
        <v>17</v>
      </c>
      <c r="T67" s="20" t="str">
        <f>IF(AND(C67&gt;='Campaign Metadata'!B$2,Posts!C67&lt;='Campaign Metadata'!C$2),"During","Before/After")</f>
        <v>Before/After</v>
      </c>
      <c r="U67" s="20" t="str">
        <f>IF(AND(C67&gt;='Campaign Metadata'!B$3,Posts!C67&lt;='Campaign Metadata'!C$3),"During","Before/After")</f>
        <v>Before/After</v>
      </c>
      <c r="V67" s="20" t="str">
        <f>IF(AND(C67&gt;='Campaign Metadata'!B$4,Posts!C67&lt;='Campaign Metadata'!C$4),"During","Before/After")</f>
        <v>Before/After</v>
      </c>
      <c r="W67" s="50" t="str">
        <f>IF(AND(C67&gt;='Campaign Metadata'!B$5,Posts!C67&lt;='Campaign Metadata'!C$5),"During","Before/After")</f>
        <v>Before/After</v>
      </c>
    </row>
    <row r="68" spans="1:23" x14ac:dyDescent="0.25">
      <c r="A68" s="49" t="s">
        <v>299</v>
      </c>
      <c r="B68" s="92" t="s">
        <v>40</v>
      </c>
      <c r="C68" s="35" t="s">
        <v>300</v>
      </c>
      <c r="D68" s="17" t="s">
        <v>20</v>
      </c>
      <c r="E68" s="17" t="s">
        <v>53</v>
      </c>
      <c r="F68" s="18">
        <v>4213</v>
      </c>
      <c r="G68" s="18">
        <v>253</v>
      </c>
      <c r="H68" s="18">
        <v>434</v>
      </c>
      <c r="I68" s="18">
        <v>75834</v>
      </c>
      <c r="J68" s="18">
        <f t="shared" si="2"/>
        <v>4466.0057230266111</v>
      </c>
      <c r="K68" s="18">
        <f t="shared" si="3"/>
        <v>4900</v>
      </c>
      <c r="L68" s="18">
        <v>75437</v>
      </c>
      <c r="M68" s="18">
        <v>272</v>
      </c>
      <c r="N68" s="19" t="s">
        <v>59</v>
      </c>
      <c r="O68" s="20"/>
      <c r="P68" s="20"/>
      <c r="Q68" s="20"/>
      <c r="R68" s="20"/>
      <c r="S68" s="22" t="s">
        <v>35</v>
      </c>
      <c r="T68" s="20" t="str">
        <f>IF(AND(C68&gt;='Campaign Metadata'!B$2,Posts!C68&lt;='Campaign Metadata'!C$2),"During","Before/After")</f>
        <v>Before/After</v>
      </c>
      <c r="U68" s="20" t="str">
        <f>IF(AND(C68&gt;='Campaign Metadata'!B$3,Posts!C68&lt;='Campaign Metadata'!C$3),"During","Before/After")</f>
        <v>Before/After</v>
      </c>
      <c r="V68" s="20" t="str">
        <f>IF(AND(C68&gt;='Campaign Metadata'!B$4,Posts!C68&lt;='Campaign Metadata'!C$4),"During","Before/After")</f>
        <v>Before/After</v>
      </c>
      <c r="W68" s="50" t="str">
        <f>IF(AND(C68&gt;='Campaign Metadata'!B$5,Posts!C68&lt;='Campaign Metadata'!C$5),"During","Before/After")</f>
        <v>Before/After</v>
      </c>
    </row>
    <row r="69" spans="1:23" x14ac:dyDescent="0.25">
      <c r="A69" s="49" t="s">
        <v>413</v>
      </c>
      <c r="B69" s="92" t="s">
        <v>13</v>
      </c>
      <c r="C69" s="35" t="s">
        <v>414</v>
      </c>
      <c r="D69" s="17" t="s">
        <v>42</v>
      </c>
      <c r="E69" s="17" t="s">
        <v>46</v>
      </c>
      <c r="F69" s="18">
        <v>4274</v>
      </c>
      <c r="G69" s="18">
        <v>340</v>
      </c>
      <c r="H69" s="18">
        <v>281</v>
      </c>
      <c r="I69" s="18">
        <v>34192</v>
      </c>
      <c r="J69" s="18">
        <f t="shared" si="2"/>
        <v>4614.008218296678</v>
      </c>
      <c r="K69" s="18">
        <f t="shared" si="3"/>
        <v>4895</v>
      </c>
      <c r="L69" s="18">
        <v>33446</v>
      </c>
      <c r="M69" s="18">
        <v>129</v>
      </c>
      <c r="N69" s="19" t="s">
        <v>27</v>
      </c>
      <c r="O69" s="20" t="s">
        <v>592</v>
      </c>
      <c r="P69" s="20"/>
      <c r="Q69" s="20"/>
      <c r="R69" s="20"/>
      <c r="S69" s="22" t="s">
        <v>28</v>
      </c>
      <c r="T69" s="20" t="str">
        <f>IF(AND(C69&gt;='Campaign Metadata'!B$2,Posts!C69&lt;='Campaign Metadata'!C$2),"During","Before/After")</f>
        <v>Before/After</v>
      </c>
      <c r="U69" s="20" t="str">
        <f>IF(AND(C69&gt;='Campaign Metadata'!B$3,Posts!C69&lt;='Campaign Metadata'!C$3),"During","Before/After")</f>
        <v>Before/After</v>
      </c>
      <c r="V69" s="20" t="str">
        <f>IF(AND(C69&gt;='Campaign Metadata'!B$4,Posts!C69&lt;='Campaign Metadata'!C$4),"During","Before/After")</f>
        <v>Before/After</v>
      </c>
      <c r="W69" s="50" t="str">
        <f>IF(AND(C69&gt;='Campaign Metadata'!B$5,Posts!C69&lt;='Campaign Metadata'!C$5),"During","Before/After")</f>
        <v>During</v>
      </c>
    </row>
    <row r="70" spans="1:23" x14ac:dyDescent="0.25">
      <c r="A70" s="49" t="s">
        <v>285</v>
      </c>
      <c r="B70" s="92" t="s">
        <v>13</v>
      </c>
      <c r="C70" s="35" t="s">
        <v>286</v>
      </c>
      <c r="D70" s="17" t="s">
        <v>42</v>
      </c>
      <c r="E70" s="17" t="s">
        <v>46</v>
      </c>
      <c r="F70" s="18">
        <v>3811</v>
      </c>
      <c r="G70" s="18">
        <v>866</v>
      </c>
      <c r="H70" s="18">
        <v>216</v>
      </c>
      <c r="I70" s="18">
        <v>34299</v>
      </c>
      <c r="J70" s="18">
        <f t="shared" si="2"/>
        <v>4677.0062975596957</v>
      </c>
      <c r="K70" s="18">
        <f t="shared" si="3"/>
        <v>4893</v>
      </c>
      <c r="L70" s="18">
        <v>34088</v>
      </c>
      <c r="M70" s="18">
        <v>233</v>
      </c>
      <c r="N70" s="19" t="s">
        <v>27</v>
      </c>
      <c r="O70" s="20"/>
      <c r="P70" s="20"/>
      <c r="Q70" s="20"/>
      <c r="R70" s="20"/>
      <c r="S70" s="22" t="s">
        <v>35</v>
      </c>
      <c r="T70" s="20" t="str">
        <f>IF(AND(C70&gt;='Campaign Metadata'!B$2,Posts!C70&lt;='Campaign Metadata'!C$2),"During","Before/After")</f>
        <v>Before/After</v>
      </c>
      <c r="U70" s="20" t="str">
        <f>IF(AND(C70&gt;='Campaign Metadata'!B$3,Posts!C70&lt;='Campaign Metadata'!C$3),"During","Before/After")</f>
        <v>Before/After</v>
      </c>
      <c r="V70" s="20" t="str">
        <f>IF(AND(C70&gt;='Campaign Metadata'!B$4,Posts!C70&lt;='Campaign Metadata'!C$4),"During","Before/After")</f>
        <v>Before/After</v>
      </c>
      <c r="W70" s="50" t="str">
        <f>IF(AND(C70&gt;='Campaign Metadata'!B$5,Posts!C70&lt;='Campaign Metadata'!C$5),"During","Before/After")</f>
        <v>Before/After</v>
      </c>
    </row>
    <row r="71" spans="1:23" x14ac:dyDescent="0.25">
      <c r="A71" s="49" t="s">
        <v>528</v>
      </c>
      <c r="B71" s="92" t="s">
        <v>24</v>
      </c>
      <c r="C71" s="35" t="s">
        <v>420</v>
      </c>
      <c r="D71" s="17" t="s">
        <v>20</v>
      </c>
      <c r="E71" s="17" t="s">
        <v>100</v>
      </c>
      <c r="F71" s="18">
        <v>4021</v>
      </c>
      <c r="G71" s="18">
        <v>794</v>
      </c>
      <c r="H71" s="18">
        <v>77</v>
      </c>
      <c r="I71" s="18">
        <v>36189</v>
      </c>
      <c r="J71" s="18">
        <f t="shared" si="2"/>
        <v>4815.0021277183678</v>
      </c>
      <c r="K71" s="18">
        <f t="shared" si="3"/>
        <v>4892</v>
      </c>
      <c r="L71" s="18">
        <v>35505</v>
      </c>
      <c r="M71" s="18">
        <v>174</v>
      </c>
      <c r="N71" s="19" t="s">
        <v>34</v>
      </c>
      <c r="O71" s="20"/>
      <c r="P71" s="20"/>
      <c r="Q71" s="20"/>
      <c r="R71" s="20"/>
      <c r="S71" s="22"/>
      <c r="T71" s="20" t="str">
        <f>IF(AND(C71&gt;='Campaign Metadata'!B$2,Posts!C71&lt;='Campaign Metadata'!C$2),"During","Before/After")</f>
        <v>Before/After</v>
      </c>
      <c r="U71" s="20" t="str">
        <f>IF(AND(C71&gt;='Campaign Metadata'!B$3,Posts!C71&lt;='Campaign Metadata'!C$3),"During","Before/After")</f>
        <v>Before/After</v>
      </c>
      <c r="V71" s="20" t="str">
        <f>IF(AND(C71&gt;='Campaign Metadata'!B$4,Posts!C71&lt;='Campaign Metadata'!C$4),"During","Before/After")</f>
        <v>Before/After</v>
      </c>
      <c r="W71" s="50" t="str">
        <f>IF(AND(C71&gt;='Campaign Metadata'!B$5,Posts!C71&lt;='Campaign Metadata'!C$5),"During","Before/After")</f>
        <v>Before/After</v>
      </c>
    </row>
    <row r="72" spans="1:23" x14ac:dyDescent="0.25">
      <c r="A72" s="49" t="s">
        <v>463</v>
      </c>
      <c r="B72" s="92" t="s">
        <v>13</v>
      </c>
      <c r="C72" s="35" t="s">
        <v>464</v>
      </c>
      <c r="D72" s="17" t="s">
        <v>49</v>
      </c>
      <c r="E72" s="17" t="s">
        <v>128</v>
      </c>
      <c r="F72" s="18">
        <v>3592</v>
      </c>
      <c r="G72" s="18">
        <v>911</v>
      </c>
      <c r="H72" s="18">
        <v>375</v>
      </c>
      <c r="I72" s="18">
        <v>50288</v>
      </c>
      <c r="J72" s="18">
        <f t="shared" si="2"/>
        <v>4503.0074570474071</v>
      </c>
      <c r="K72" s="18">
        <f t="shared" si="3"/>
        <v>4878</v>
      </c>
      <c r="L72" s="18">
        <v>49490</v>
      </c>
      <c r="M72" s="18">
        <v>32</v>
      </c>
      <c r="N72" s="19" t="s">
        <v>59</v>
      </c>
      <c r="O72" s="20"/>
      <c r="P72" s="20"/>
      <c r="Q72" s="20"/>
      <c r="R72" s="20"/>
      <c r="S72" s="22" t="s">
        <v>35</v>
      </c>
      <c r="T72" s="20" t="str">
        <f>IF(AND(C72&gt;='Campaign Metadata'!B$2,Posts!C72&lt;='Campaign Metadata'!C$2),"During","Before/After")</f>
        <v>Before/After</v>
      </c>
      <c r="U72" s="20" t="str">
        <f>IF(AND(C72&gt;='Campaign Metadata'!B$3,Posts!C72&lt;='Campaign Metadata'!C$3),"During","Before/After")</f>
        <v>During</v>
      </c>
      <c r="V72" s="20" t="str">
        <f>IF(AND(C72&gt;='Campaign Metadata'!B$4,Posts!C72&lt;='Campaign Metadata'!C$4),"During","Before/After")</f>
        <v>Before/After</v>
      </c>
      <c r="W72" s="50" t="str">
        <f>IF(AND(C72&gt;='Campaign Metadata'!B$5,Posts!C72&lt;='Campaign Metadata'!C$5),"During","Before/After")</f>
        <v>Before/After</v>
      </c>
    </row>
    <row r="73" spans="1:23" x14ac:dyDescent="0.25">
      <c r="A73" s="49" t="s">
        <v>370</v>
      </c>
      <c r="B73" s="92" t="s">
        <v>40</v>
      </c>
      <c r="C73" s="35" t="s">
        <v>308</v>
      </c>
      <c r="D73" s="17" t="s">
        <v>42</v>
      </c>
      <c r="E73" s="17" t="s">
        <v>43</v>
      </c>
      <c r="F73" s="18">
        <v>3796</v>
      </c>
      <c r="G73" s="18">
        <v>667</v>
      </c>
      <c r="H73" s="18">
        <v>395</v>
      </c>
      <c r="I73" s="18">
        <v>64532</v>
      </c>
      <c r="J73" s="18">
        <f t="shared" si="2"/>
        <v>4463.0061209942351</v>
      </c>
      <c r="K73" s="18">
        <f t="shared" si="3"/>
        <v>4858</v>
      </c>
      <c r="L73" s="18">
        <v>63550</v>
      </c>
      <c r="M73" s="18">
        <v>292</v>
      </c>
      <c r="N73" s="19" t="s">
        <v>27</v>
      </c>
      <c r="O73" s="20"/>
      <c r="P73" s="20"/>
      <c r="Q73" s="20"/>
      <c r="R73" s="20"/>
      <c r="S73" s="22"/>
      <c r="T73" s="20" t="str">
        <f>IF(AND(C73&gt;='Campaign Metadata'!B$2,Posts!C73&lt;='Campaign Metadata'!C$2),"During","Before/After")</f>
        <v>During</v>
      </c>
      <c r="U73" s="20" t="str">
        <f>IF(AND(C73&gt;='Campaign Metadata'!B$3,Posts!C73&lt;='Campaign Metadata'!C$3),"During","Before/After")</f>
        <v>Before/After</v>
      </c>
      <c r="V73" s="20" t="str">
        <f>IF(AND(C73&gt;='Campaign Metadata'!B$4,Posts!C73&lt;='Campaign Metadata'!C$4),"During","Before/After")</f>
        <v>Before/After</v>
      </c>
      <c r="W73" s="50" t="str">
        <f>IF(AND(C73&gt;='Campaign Metadata'!B$5,Posts!C73&lt;='Campaign Metadata'!C$5),"During","Before/After")</f>
        <v>Before/After</v>
      </c>
    </row>
    <row r="74" spans="1:23" x14ac:dyDescent="0.25">
      <c r="A74" s="49" t="s">
        <v>92</v>
      </c>
      <c r="B74" s="92" t="s">
        <v>40</v>
      </c>
      <c r="C74" s="35" t="s">
        <v>93</v>
      </c>
      <c r="D74" s="17" t="s">
        <v>71</v>
      </c>
      <c r="E74" s="17" t="s">
        <v>72</v>
      </c>
      <c r="F74" s="18">
        <v>3961</v>
      </c>
      <c r="G74" s="18">
        <v>761</v>
      </c>
      <c r="H74" s="18">
        <v>131</v>
      </c>
      <c r="I74" s="18">
        <v>67337</v>
      </c>
      <c r="J74" s="18">
        <f t="shared" si="2"/>
        <v>4722.0019454386147</v>
      </c>
      <c r="K74" s="18">
        <f t="shared" si="3"/>
        <v>4853</v>
      </c>
      <c r="L74" s="18">
        <v>66615</v>
      </c>
      <c r="M74" s="18">
        <v>161</v>
      </c>
      <c r="N74" s="19" t="s">
        <v>59</v>
      </c>
      <c r="O74" s="20"/>
      <c r="P74" s="20"/>
      <c r="Q74" s="20"/>
      <c r="R74" s="20"/>
      <c r="S74" s="22" t="s">
        <v>28</v>
      </c>
      <c r="T74" s="20" t="str">
        <f>IF(AND(C74&gt;='Campaign Metadata'!B$2,Posts!C74&lt;='Campaign Metadata'!C$2),"During","Before/After")</f>
        <v>Before/After</v>
      </c>
      <c r="U74" s="20" t="str">
        <f>IF(AND(C74&gt;='Campaign Metadata'!B$3,Posts!C74&lt;='Campaign Metadata'!C$3),"During","Before/After")</f>
        <v>Before/After</v>
      </c>
      <c r="V74" s="20" t="str">
        <f>IF(AND(C74&gt;='Campaign Metadata'!B$4,Posts!C74&lt;='Campaign Metadata'!C$4),"During","Before/After")</f>
        <v>Before/After</v>
      </c>
      <c r="W74" s="50" t="str">
        <f>IF(AND(C74&gt;='Campaign Metadata'!B$5,Posts!C74&lt;='Campaign Metadata'!C$5),"During","Before/After")</f>
        <v>Before/After</v>
      </c>
    </row>
    <row r="75" spans="1:23" x14ac:dyDescent="0.25">
      <c r="A75" s="49" t="s">
        <v>455</v>
      </c>
      <c r="B75" s="92" t="s">
        <v>30</v>
      </c>
      <c r="C75" s="35" t="s">
        <v>332</v>
      </c>
      <c r="D75" s="17" t="s">
        <v>32</v>
      </c>
      <c r="E75" s="17" t="s">
        <v>33</v>
      </c>
      <c r="F75" s="18">
        <v>3770</v>
      </c>
      <c r="G75" s="18">
        <v>917</v>
      </c>
      <c r="H75" s="18">
        <v>129</v>
      </c>
      <c r="I75" s="18">
        <v>71630</v>
      </c>
      <c r="J75" s="18">
        <f t="shared" si="2"/>
        <v>4687.0018009214018</v>
      </c>
      <c r="K75" s="18">
        <f t="shared" si="3"/>
        <v>4816</v>
      </c>
      <c r="L75" s="18">
        <v>71322</v>
      </c>
      <c r="M75" s="18">
        <v>76</v>
      </c>
      <c r="N75" s="19" t="s">
        <v>59</v>
      </c>
      <c r="O75" s="20"/>
      <c r="P75" s="20"/>
      <c r="Q75" s="20"/>
      <c r="R75" s="20"/>
      <c r="S75" s="21" t="s">
        <v>17</v>
      </c>
      <c r="T75" s="20" t="str">
        <f>IF(AND(C75&gt;='Campaign Metadata'!B$2,Posts!C75&lt;='Campaign Metadata'!C$2),"During","Before/After")</f>
        <v>Before/After</v>
      </c>
      <c r="U75" s="20" t="str">
        <f>IF(AND(C75&gt;='Campaign Metadata'!B$3,Posts!C75&lt;='Campaign Metadata'!C$3),"During","Before/After")</f>
        <v>Before/After</v>
      </c>
      <c r="V75" s="20" t="str">
        <f>IF(AND(C75&gt;='Campaign Metadata'!B$4,Posts!C75&lt;='Campaign Metadata'!C$4),"During","Before/After")</f>
        <v>During</v>
      </c>
      <c r="W75" s="50" t="str">
        <f>IF(AND(C75&gt;='Campaign Metadata'!B$5,Posts!C75&lt;='Campaign Metadata'!C$5),"During","Before/After")</f>
        <v>Before/After</v>
      </c>
    </row>
    <row r="76" spans="1:23" x14ac:dyDescent="0.25">
      <c r="A76" s="49" t="s">
        <v>239</v>
      </c>
      <c r="B76" s="92" t="s">
        <v>24</v>
      </c>
      <c r="C76" s="35" t="s">
        <v>240</v>
      </c>
      <c r="D76" s="17" t="s">
        <v>42</v>
      </c>
      <c r="E76" s="17" t="s">
        <v>65</v>
      </c>
      <c r="F76" s="18">
        <v>4171</v>
      </c>
      <c r="G76" s="18">
        <v>548</v>
      </c>
      <c r="H76" s="18">
        <v>86</v>
      </c>
      <c r="I76" s="18">
        <v>66736</v>
      </c>
      <c r="J76" s="18">
        <f t="shared" si="2"/>
        <v>4719.0012886597942</v>
      </c>
      <c r="K76" s="18">
        <f t="shared" si="3"/>
        <v>4805</v>
      </c>
      <c r="L76" s="18">
        <v>66634</v>
      </c>
      <c r="M76" s="18">
        <v>173</v>
      </c>
      <c r="N76" s="19" t="s">
        <v>59</v>
      </c>
      <c r="O76" s="20"/>
      <c r="P76" s="20"/>
      <c r="Q76" s="20"/>
      <c r="R76" s="20"/>
      <c r="S76" s="22" t="s">
        <v>28</v>
      </c>
      <c r="T76" s="20" t="str">
        <f>IF(AND(C76&gt;='Campaign Metadata'!B$2,Posts!C76&lt;='Campaign Metadata'!C$2),"During","Before/After")</f>
        <v>During</v>
      </c>
      <c r="U76" s="20" t="str">
        <f>IF(AND(C76&gt;='Campaign Metadata'!B$3,Posts!C76&lt;='Campaign Metadata'!C$3),"During","Before/After")</f>
        <v>Before/After</v>
      </c>
      <c r="V76" s="20" t="str">
        <f>IF(AND(C76&gt;='Campaign Metadata'!B$4,Posts!C76&lt;='Campaign Metadata'!C$4),"During","Before/After")</f>
        <v>Before/After</v>
      </c>
      <c r="W76" s="50" t="str">
        <f>IF(AND(C76&gt;='Campaign Metadata'!B$5,Posts!C76&lt;='Campaign Metadata'!C$5),"During","Before/After")</f>
        <v>Before/After</v>
      </c>
    </row>
    <row r="77" spans="1:23" x14ac:dyDescent="0.25">
      <c r="A77" s="49" t="s">
        <v>215</v>
      </c>
      <c r="B77" s="92" t="s">
        <v>30</v>
      </c>
      <c r="C77" s="35" t="s">
        <v>119</v>
      </c>
      <c r="D77" s="17" t="s">
        <v>49</v>
      </c>
      <c r="E77" s="17" t="s">
        <v>209</v>
      </c>
      <c r="F77" s="18">
        <v>4177</v>
      </c>
      <c r="G77" s="18">
        <v>569</v>
      </c>
      <c r="H77" s="18">
        <v>55</v>
      </c>
      <c r="I77" s="18">
        <v>25062</v>
      </c>
      <c r="J77" s="18">
        <f t="shared" si="2"/>
        <v>4746.0021945574972</v>
      </c>
      <c r="K77" s="18">
        <f t="shared" si="3"/>
        <v>4801</v>
      </c>
      <c r="L77" s="18">
        <v>24847</v>
      </c>
      <c r="M77" s="18">
        <v>230</v>
      </c>
      <c r="N77" s="19" t="s">
        <v>59</v>
      </c>
      <c r="O77" s="20"/>
      <c r="P77" s="20"/>
      <c r="Q77" s="20"/>
      <c r="R77" s="20"/>
      <c r="S77" s="21" t="s">
        <v>17</v>
      </c>
      <c r="T77" s="20" t="str">
        <f>IF(AND(C77&gt;='Campaign Metadata'!B$2,Posts!C77&lt;='Campaign Metadata'!C$2),"During","Before/After")</f>
        <v>Before/After</v>
      </c>
      <c r="U77" s="20" t="str">
        <f>IF(AND(C77&gt;='Campaign Metadata'!B$3,Posts!C77&lt;='Campaign Metadata'!C$3),"During","Before/After")</f>
        <v>Before/After</v>
      </c>
      <c r="V77" s="20" t="str">
        <f>IF(AND(C77&gt;='Campaign Metadata'!B$4,Posts!C77&lt;='Campaign Metadata'!C$4),"During","Before/After")</f>
        <v>Before/After</v>
      </c>
      <c r="W77" s="50" t="str">
        <f>IF(AND(C77&gt;='Campaign Metadata'!B$5,Posts!C77&lt;='Campaign Metadata'!C$5),"During","Before/After")</f>
        <v>Before/After</v>
      </c>
    </row>
    <row r="78" spans="1:23" x14ac:dyDescent="0.25">
      <c r="A78" s="49" t="s">
        <v>411</v>
      </c>
      <c r="B78" s="92" t="s">
        <v>13</v>
      </c>
      <c r="C78" s="35" t="s">
        <v>298</v>
      </c>
      <c r="D78" s="17" t="s">
        <v>71</v>
      </c>
      <c r="E78" s="17" t="s">
        <v>141</v>
      </c>
      <c r="F78" s="18">
        <v>3820</v>
      </c>
      <c r="G78" s="18">
        <v>697</v>
      </c>
      <c r="H78" s="18">
        <v>268</v>
      </c>
      <c r="I78" s="18">
        <v>45840</v>
      </c>
      <c r="J78" s="18">
        <f t="shared" si="2"/>
        <v>4517.0058464223384</v>
      </c>
      <c r="K78" s="18">
        <f t="shared" si="3"/>
        <v>4785</v>
      </c>
      <c r="L78" s="18">
        <v>45631</v>
      </c>
      <c r="M78" s="18">
        <v>171</v>
      </c>
      <c r="N78" s="19" t="s">
        <v>27</v>
      </c>
      <c r="O78" s="20" t="s">
        <v>592</v>
      </c>
      <c r="P78" s="20"/>
      <c r="Q78" s="20"/>
      <c r="R78" s="20"/>
      <c r="S78" s="22" t="s">
        <v>35</v>
      </c>
      <c r="T78" s="20" t="str">
        <f>IF(AND(C78&gt;='Campaign Metadata'!B$2,Posts!C78&lt;='Campaign Metadata'!C$2),"During","Before/After")</f>
        <v>Before/After</v>
      </c>
      <c r="U78" s="20" t="str">
        <f>IF(AND(C78&gt;='Campaign Metadata'!B$3,Posts!C78&lt;='Campaign Metadata'!C$3),"During","Before/After")</f>
        <v>Before/After</v>
      </c>
      <c r="V78" s="20" t="str">
        <f>IF(AND(C78&gt;='Campaign Metadata'!B$4,Posts!C78&lt;='Campaign Metadata'!C$4),"During","Before/After")</f>
        <v>Before/After</v>
      </c>
      <c r="W78" s="50" t="str">
        <f>IF(AND(C78&gt;='Campaign Metadata'!B$5,Posts!C78&lt;='Campaign Metadata'!C$5),"During","Before/After")</f>
        <v>Before/After</v>
      </c>
    </row>
    <row r="79" spans="1:23" x14ac:dyDescent="0.25">
      <c r="A79" s="49" t="s">
        <v>421</v>
      </c>
      <c r="B79" s="92" t="s">
        <v>24</v>
      </c>
      <c r="C79" s="35" t="s">
        <v>191</v>
      </c>
      <c r="D79" s="17" t="s">
        <v>71</v>
      </c>
      <c r="E79" s="17" t="s">
        <v>212</v>
      </c>
      <c r="F79" s="18">
        <v>3874</v>
      </c>
      <c r="G79" s="18">
        <v>884</v>
      </c>
      <c r="H79" s="18">
        <v>19</v>
      </c>
      <c r="I79" s="18">
        <v>38740</v>
      </c>
      <c r="J79" s="18">
        <f t="shared" si="2"/>
        <v>4758.0004904491479</v>
      </c>
      <c r="K79" s="18">
        <f t="shared" si="3"/>
        <v>4777</v>
      </c>
      <c r="L79" s="18">
        <v>38552</v>
      </c>
      <c r="M79" s="18">
        <v>219</v>
      </c>
      <c r="N79" s="19" t="s">
        <v>27</v>
      </c>
      <c r="O79" s="20"/>
      <c r="P79" s="20"/>
      <c r="Q79" s="20"/>
      <c r="R79" s="20"/>
      <c r="S79" s="22" t="s">
        <v>22</v>
      </c>
      <c r="T79" s="20" t="str">
        <f>IF(AND(C79&gt;='Campaign Metadata'!B$2,Posts!C79&lt;='Campaign Metadata'!C$2),"During","Before/After")</f>
        <v>Before/After</v>
      </c>
      <c r="U79" s="20" t="str">
        <f>IF(AND(C79&gt;='Campaign Metadata'!B$3,Posts!C79&lt;='Campaign Metadata'!C$3),"During","Before/After")</f>
        <v>During</v>
      </c>
      <c r="V79" s="20" t="str">
        <f>IF(AND(C79&gt;='Campaign Metadata'!B$4,Posts!C79&lt;='Campaign Metadata'!C$4),"During","Before/After")</f>
        <v>Before/After</v>
      </c>
      <c r="W79" s="50" t="str">
        <f>IF(AND(C79&gt;='Campaign Metadata'!B$5,Posts!C79&lt;='Campaign Metadata'!C$5),"During","Before/After")</f>
        <v>Before/After</v>
      </c>
    </row>
    <row r="80" spans="1:23" x14ac:dyDescent="0.25">
      <c r="A80" s="49" t="s">
        <v>331</v>
      </c>
      <c r="B80" s="92" t="s">
        <v>40</v>
      </c>
      <c r="C80" s="35" t="s">
        <v>332</v>
      </c>
      <c r="D80" s="17" t="s">
        <v>42</v>
      </c>
      <c r="E80" s="17" t="s">
        <v>43</v>
      </c>
      <c r="F80" s="18">
        <v>3352</v>
      </c>
      <c r="G80" s="18">
        <v>941</v>
      </c>
      <c r="H80" s="18">
        <v>482</v>
      </c>
      <c r="I80" s="18">
        <v>43576</v>
      </c>
      <c r="J80" s="18">
        <f t="shared" si="2"/>
        <v>4293.0110611345699</v>
      </c>
      <c r="K80" s="18">
        <f t="shared" si="3"/>
        <v>4775</v>
      </c>
      <c r="L80" s="18">
        <v>43338</v>
      </c>
      <c r="M80" s="18">
        <v>240</v>
      </c>
      <c r="N80" s="19" t="s">
        <v>59</v>
      </c>
      <c r="O80" s="20"/>
      <c r="P80" s="20"/>
      <c r="Q80" s="20"/>
      <c r="R80" s="20"/>
      <c r="S80" s="22" t="s">
        <v>22</v>
      </c>
      <c r="T80" s="20" t="str">
        <f>IF(AND(C80&gt;='Campaign Metadata'!B$2,Posts!C80&lt;='Campaign Metadata'!C$2),"During","Before/After")</f>
        <v>Before/After</v>
      </c>
      <c r="U80" s="20" t="str">
        <f>IF(AND(C80&gt;='Campaign Metadata'!B$3,Posts!C80&lt;='Campaign Metadata'!C$3),"During","Before/After")</f>
        <v>Before/After</v>
      </c>
      <c r="V80" s="20" t="str">
        <f>IF(AND(C80&gt;='Campaign Metadata'!B$4,Posts!C80&lt;='Campaign Metadata'!C$4),"During","Before/After")</f>
        <v>During</v>
      </c>
      <c r="W80" s="50" t="str">
        <f>IF(AND(C80&gt;='Campaign Metadata'!B$5,Posts!C80&lt;='Campaign Metadata'!C$5),"During","Before/After")</f>
        <v>Before/After</v>
      </c>
    </row>
    <row r="81" spans="1:23" x14ac:dyDescent="0.25">
      <c r="A81" s="49" t="s">
        <v>260</v>
      </c>
      <c r="B81" s="92" t="s">
        <v>30</v>
      </c>
      <c r="C81" s="35" t="s">
        <v>261</v>
      </c>
      <c r="D81" s="17" t="s">
        <v>15</v>
      </c>
      <c r="E81" s="17" t="s">
        <v>79</v>
      </c>
      <c r="F81" s="18">
        <v>3523</v>
      </c>
      <c r="G81" s="18">
        <v>753</v>
      </c>
      <c r="H81" s="18">
        <v>482</v>
      </c>
      <c r="I81" s="18">
        <v>38753</v>
      </c>
      <c r="J81" s="18">
        <f t="shared" si="2"/>
        <v>4276.0124377467555</v>
      </c>
      <c r="K81" s="18">
        <f t="shared" si="3"/>
        <v>4758</v>
      </c>
      <c r="L81" s="18">
        <v>38579</v>
      </c>
      <c r="M81" s="18">
        <v>270</v>
      </c>
      <c r="N81" s="19" t="s">
        <v>34</v>
      </c>
      <c r="O81" s="20"/>
      <c r="P81" s="20"/>
      <c r="Q81" s="20"/>
      <c r="R81" s="20"/>
      <c r="S81" s="22" t="s">
        <v>22</v>
      </c>
      <c r="T81" s="20" t="str">
        <f>IF(AND(C81&gt;='Campaign Metadata'!B$2,Posts!C81&lt;='Campaign Metadata'!C$2),"During","Before/After")</f>
        <v>Before/After</v>
      </c>
      <c r="U81" s="20" t="str">
        <f>IF(AND(C81&gt;='Campaign Metadata'!B$3,Posts!C81&lt;='Campaign Metadata'!C$3),"During","Before/After")</f>
        <v>Before/After</v>
      </c>
      <c r="V81" s="20" t="str">
        <f>IF(AND(C81&gt;='Campaign Metadata'!B$4,Posts!C81&lt;='Campaign Metadata'!C$4),"During","Before/After")</f>
        <v>Before/After</v>
      </c>
      <c r="W81" s="50" t="str">
        <f>IF(AND(C81&gt;='Campaign Metadata'!B$5,Posts!C81&lt;='Campaign Metadata'!C$5),"During","Before/After")</f>
        <v>Before/After</v>
      </c>
    </row>
    <row r="82" spans="1:23" x14ac:dyDescent="0.25">
      <c r="A82" s="49" t="s">
        <v>379</v>
      </c>
      <c r="B82" s="92" t="s">
        <v>30</v>
      </c>
      <c r="C82" s="35" t="s">
        <v>380</v>
      </c>
      <c r="D82" s="17" t="s">
        <v>42</v>
      </c>
      <c r="E82" s="17" t="s">
        <v>85</v>
      </c>
      <c r="F82" s="18">
        <v>4523</v>
      </c>
      <c r="G82" s="18">
        <v>61</v>
      </c>
      <c r="H82" s="18">
        <v>157</v>
      </c>
      <c r="I82" s="18">
        <v>49753</v>
      </c>
      <c r="J82" s="18">
        <f t="shared" si="2"/>
        <v>4584.003155588608</v>
      </c>
      <c r="K82" s="18">
        <f t="shared" si="3"/>
        <v>4741</v>
      </c>
      <c r="L82" s="18">
        <v>49329</v>
      </c>
      <c r="M82" s="18">
        <v>71</v>
      </c>
      <c r="N82" s="19" t="s">
        <v>34</v>
      </c>
      <c r="O82" s="20"/>
      <c r="P82" s="20"/>
      <c r="Q82" s="20"/>
      <c r="R82" s="20"/>
      <c r="S82" s="22"/>
      <c r="T82" s="20" t="str">
        <f>IF(AND(C82&gt;='Campaign Metadata'!B$2,Posts!C82&lt;='Campaign Metadata'!C$2),"During","Before/After")</f>
        <v>Before/After</v>
      </c>
      <c r="U82" s="20" t="str">
        <f>IF(AND(C82&gt;='Campaign Metadata'!B$3,Posts!C82&lt;='Campaign Metadata'!C$3),"During","Before/After")</f>
        <v>Before/After</v>
      </c>
      <c r="V82" s="20" t="str">
        <f>IF(AND(C82&gt;='Campaign Metadata'!B$4,Posts!C82&lt;='Campaign Metadata'!C$4),"During","Before/After")</f>
        <v>Before/After</v>
      </c>
      <c r="W82" s="50" t="str">
        <f>IF(AND(C82&gt;='Campaign Metadata'!B$5,Posts!C82&lt;='Campaign Metadata'!C$5),"During","Before/After")</f>
        <v>Before/After</v>
      </c>
    </row>
    <row r="83" spans="1:23" x14ac:dyDescent="0.25">
      <c r="A83" s="49" t="s">
        <v>174</v>
      </c>
      <c r="B83" s="92" t="s">
        <v>13</v>
      </c>
      <c r="C83" s="35" t="s">
        <v>111</v>
      </c>
      <c r="D83" s="17" t="s">
        <v>42</v>
      </c>
      <c r="E83" s="17" t="s">
        <v>46</v>
      </c>
      <c r="F83" s="18">
        <v>4507</v>
      </c>
      <c r="G83" s="18">
        <v>217</v>
      </c>
      <c r="H83" s="18">
        <v>13</v>
      </c>
      <c r="I83" s="18">
        <v>90140</v>
      </c>
      <c r="J83" s="18">
        <f t="shared" si="2"/>
        <v>4724.0001442201019</v>
      </c>
      <c r="K83" s="18">
        <f t="shared" si="3"/>
        <v>4737</v>
      </c>
      <c r="L83" s="18">
        <v>89591</v>
      </c>
      <c r="M83" s="18">
        <v>125</v>
      </c>
      <c r="N83" s="19" t="s">
        <v>59</v>
      </c>
      <c r="O83" s="20"/>
      <c r="P83" s="20"/>
      <c r="Q83" s="20"/>
      <c r="R83" s="20"/>
      <c r="S83" s="22" t="s">
        <v>28</v>
      </c>
      <c r="T83" s="20" t="str">
        <f>IF(AND(C83&gt;='Campaign Metadata'!B$2,Posts!C83&lt;='Campaign Metadata'!C$2),"During","Before/After")</f>
        <v>Before/After</v>
      </c>
      <c r="U83" s="20" t="str">
        <f>IF(AND(C83&gt;='Campaign Metadata'!B$3,Posts!C83&lt;='Campaign Metadata'!C$3),"During","Before/After")</f>
        <v>Before/After</v>
      </c>
      <c r="V83" s="20" t="str">
        <f>IF(AND(C83&gt;='Campaign Metadata'!B$4,Posts!C83&lt;='Campaign Metadata'!C$4),"During","Before/After")</f>
        <v>Before/After</v>
      </c>
      <c r="W83" s="50" t="str">
        <f>IF(AND(C83&gt;='Campaign Metadata'!B$5,Posts!C83&lt;='Campaign Metadata'!C$5),"During","Before/After")</f>
        <v>Before/After</v>
      </c>
    </row>
    <row r="84" spans="1:23" x14ac:dyDescent="0.25">
      <c r="A84" s="49" t="s">
        <v>381</v>
      </c>
      <c r="B84" s="92" t="s">
        <v>40</v>
      </c>
      <c r="C84" s="35" t="s">
        <v>339</v>
      </c>
      <c r="D84" s="17" t="s">
        <v>42</v>
      </c>
      <c r="E84" s="17" t="s">
        <v>43</v>
      </c>
      <c r="F84" s="18">
        <v>4292</v>
      </c>
      <c r="G84" s="18">
        <v>51</v>
      </c>
      <c r="H84" s="18">
        <v>392</v>
      </c>
      <c r="I84" s="18">
        <v>55796</v>
      </c>
      <c r="J84" s="18">
        <f t="shared" si="2"/>
        <v>4343.0070255932324</v>
      </c>
      <c r="K84" s="18">
        <f t="shared" si="3"/>
        <v>4735</v>
      </c>
      <c r="L84" s="18">
        <v>54826</v>
      </c>
      <c r="M84" s="18">
        <v>264</v>
      </c>
      <c r="N84" s="19" t="s">
        <v>34</v>
      </c>
      <c r="O84" s="20"/>
      <c r="P84" s="20"/>
      <c r="Q84" s="20"/>
      <c r="R84" s="20"/>
      <c r="S84" s="22" t="s">
        <v>28</v>
      </c>
      <c r="T84" s="20" t="str">
        <f>IF(AND(C84&gt;='Campaign Metadata'!B$2,Posts!C84&lt;='Campaign Metadata'!C$2),"During","Before/After")</f>
        <v>Before/After</v>
      </c>
      <c r="U84" s="20" t="str">
        <f>IF(AND(C84&gt;='Campaign Metadata'!B$3,Posts!C84&lt;='Campaign Metadata'!C$3),"During","Before/After")</f>
        <v>Before/After</v>
      </c>
      <c r="V84" s="20" t="str">
        <f>IF(AND(C84&gt;='Campaign Metadata'!B$4,Posts!C84&lt;='Campaign Metadata'!C$4),"During","Before/After")</f>
        <v>Before/After</v>
      </c>
      <c r="W84" s="50" t="str">
        <f>IF(AND(C84&gt;='Campaign Metadata'!B$5,Posts!C84&lt;='Campaign Metadata'!C$5),"During","Before/After")</f>
        <v>Before/After</v>
      </c>
    </row>
    <row r="85" spans="1:23" x14ac:dyDescent="0.25">
      <c r="A85" s="49" t="s">
        <v>36</v>
      </c>
      <c r="B85" s="92" t="s">
        <v>24</v>
      </c>
      <c r="C85" s="35" t="s">
        <v>37</v>
      </c>
      <c r="D85" s="17" t="s">
        <v>15</v>
      </c>
      <c r="E85" s="17" t="s">
        <v>26</v>
      </c>
      <c r="F85" s="18">
        <v>3557</v>
      </c>
      <c r="G85" s="18">
        <v>687</v>
      </c>
      <c r="H85" s="18">
        <v>424</v>
      </c>
      <c r="I85" s="18">
        <v>71140</v>
      </c>
      <c r="J85" s="18">
        <f t="shared" si="2"/>
        <v>4244.0059600787181</v>
      </c>
      <c r="K85" s="18">
        <f t="shared" si="3"/>
        <v>4668</v>
      </c>
      <c r="L85" s="18">
        <v>70701</v>
      </c>
      <c r="M85" s="18">
        <v>224</v>
      </c>
      <c r="N85" s="19" t="s">
        <v>34</v>
      </c>
      <c r="O85" s="20" t="s">
        <v>27</v>
      </c>
      <c r="P85" s="20"/>
      <c r="Q85" s="20"/>
      <c r="R85" s="20"/>
      <c r="S85" s="21" t="s">
        <v>17</v>
      </c>
      <c r="T85" s="20" t="str">
        <f>IF(AND(C85&gt;='Campaign Metadata'!B$2,Posts!C85&lt;='Campaign Metadata'!C$2),"During","Before/After")</f>
        <v>During</v>
      </c>
      <c r="U85" s="20" t="str">
        <f>IF(AND(C85&gt;='Campaign Metadata'!B$3,Posts!C85&lt;='Campaign Metadata'!C$3),"During","Before/After")</f>
        <v>Before/After</v>
      </c>
      <c r="V85" s="20" t="str">
        <f>IF(AND(C85&gt;='Campaign Metadata'!B$4,Posts!C85&lt;='Campaign Metadata'!C$4),"During","Before/After")</f>
        <v>Before/After</v>
      </c>
      <c r="W85" s="50" t="str">
        <f>IF(AND(C85&gt;='Campaign Metadata'!B$5,Posts!C85&lt;='Campaign Metadata'!C$5),"During","Before/After")</f>
        <v>Before/After</v>
      </c>
    </row>
    <row r="86" spans="1:23" x14ac:dyDescent="0.25">
      <c r="A86" s="49" t="s">
        <v>354</v>
      </c>
      <c r="B86" s="92" t="s">
        <v>13</v>
      </c>
      <c r="C86" s="35" t="s">
        <v>355</v>
      </c>
      <c r="D86" s="17" t="s">
        <v>20</v>
      </c>
      <c r="E86" s="17" t="s">
        <v>21</v>
      </c>
      <c r="F86" s="18">
        <v>3577</v>
      </c>
      <c r="G86" s="18">
        <v>596</v>
      </c>
      <c r="H86" s="18">
        <v>493</v>
      </c>
      <c r="I86" s="18">
        <v>67963</v>
      </c>
      <c r="J86" s="18">
        <f t="shared" si="2"/>
        <v>4173.0072539470002</v>
      </c>
      <c r="K86" s="18">
        <f t="shared" si="3"/>
        <v>4666</v>
      </c>
      <c r="L86" s="18">
        <v>67839</v>
      </c>
      <c r="M86" s="18">
        <v>53</v>
      </c>
      <c r="N86" s="19" t="s">
        <v>27</v>
      </c>
      <c r="O86" s="20"/>
      <c r="P86" s="20"/>
      <c r="Q86" s="20"/>
      <c r="R86" s="20"/>
      <c r="S86" s="22" t="s">
        <v>28</v>
      </c>
      <c r="T86" s="20" t="str">
        <f>IF(AND(C86&gt;='Campaign Metadata'!B$2,Posts!C86&lt;='Campaign Metadata'!C$2),"During","Before/After")</f>
        <v>Before/After</v>
      </c>
      <c r="U86" s="20" t="str">
        <f>IF(AND(C86&gt;='Campaign Metadata'!B$3,Posts!C86&lt;='Campaign Metadata'!C$3),"During","Before/After")</f>
        <v>Before/After</v>
      </c>
      <c r="V86" s="20" t="str">
        <f>IF(AND(C86&gt;='Campaign Metadata'!B$4,Posts!C86&lt;='Campaign Metadata'!C$4),"During","Before/After")</f>
        <v>Before/After</v>
      </c>
      <c r="W86" s="50" t="str">
        <f>IF(AND(C86&gt;='Campaign Metadata'!B$5,Posts!C86&lt;='Campaign Metadata'!C$5),"During","Before/After")</f>
        <v>Before/After</v>
      </c>
    </row>
    <row r="87" spans="1:23" x14ac:dyDescent="0.25">
      <c r="A87" s="49" t="s">
        <v>69</v>
      </c>
      <c r="B87" s="92" t="s">
        <v>40</v>
      </c>
      <c r="C87" s="35" t="s">
        <v>70</v>
      </c>
      <c r="D87" s="17" t="s">
        <v>71</v>
      </c>
      <c r="E87" s="17" t="s">
        <v>72</v>
      </c>
      <c r="F87" s="18">
        <v>3888</v>
      </c>
      <c r="G87" s="18">
        <v>604</v>
      </c>
      <c r="H87" s="18">
        <v>128</v>
      </c>
      <c r="I87" s="18">
        <v>77760</v>
      </c>
      <c r="J87" s="18">
        <f t="shared" si="2"/>
        <v>4492.0016460905354</v>
      </c>
      <c r="K87" s="18">
        <f t="shared" si="3"/>
        <v>4620</v>
      </c>
      <c r="L87" s="18">
        <v>77167</v>
      </c>
      <c r="M87" s="18">
        <v>20</v>
      </c>
      <c r="N87" s="19" t="s">
        <v>59</v>
      </c>
      <c r="O87" s="20"/>
      <c r="P87" s="20"/>
      <c r="Q87" s="20"/>
      <c r="R87" s="20"/>
      <c r="S87" s="21" t="s">
        <v>17</v>
      </c>
      <c r="T87" s="20" t="str">
        <f>IF(AND(C87&gt;='Campaign Metadata'!B$2,Posts!C87&lt;='Campaign Metadata'!C$2),"During","Before/After")</f>
        <v>Before/After</v>
      </c>
      <c r="U87" s="20" t="str">
        <f>IF(AND(C87&gt;='Campaign Metadata'!B$3,Posts!C87&lt;='Campaign Metadata'!C$3),"During","Before/After")</f>
        <v>Before/After</v>
      </c>
      <c r="V87" s="20" t="str">
        <f>IF(AND(C87&gt;='Campaign Metadata'!B$4,Posts!C87&lt;='Campaign Metadata'!C$4),"During","Before/After")</f>
        <v>During</v>
      </c>
      <c r="W87" s="50" t="str">
        <f>IF(AND(C87&gt;='Campaign Metadata'!B$5,Posts!C87&lt;='Campaign Metadata'!C$5),"During","Before/After")</f>
        <v>Before/After</v>
      </c>
    </row>
    <row r="88" spans="1:23" x14ac:dyDescent="0.25">
      <c r="A88" s="49" t="s">
        <v>479</v>
      </c>
      <c r="B88" s="92" t="s">
        <v>13</v>
      </c>
      <c r="C88" s="35" t="s">
        <v>480</v>
      </c>
      <c r="D88" s="17" t="s">
        <v>15</v>
      </c>
      <c r="E88" s="17" t="s">
        <v>16</v>
      </c>
      <c r="F88" s="18">
        <v>3791</v>
      </c>
      <c r="G88" s="18">
        <v>593</v>
      </c>
      <c r="H88" s="18">
        <v>228</v>
      </c>
      <c r="I88" s="18">
        <v>53074</v>
      </c>
      <c r="J88" s="18">
        <f t="shared" si="2"/>
        <v>4384.0042958887589</v>
      </c>
      <c r="K88" s="18">
        <f t="shared" si="3"/>
        <v>4612</v>
      </c>
      <c r="L88" s="18">
        <v>52613</v>
      </c>
      <c r="M88" s="18">
        <v>205</v>
      </c>
      <c r="N88" s="19" t="s">
        <v>34</v>
      </c>
      <c r="O88" s="20"/>
      <c r="P88" s="20"/>
      <c r="Q88" s="20"/>
      <c r="R88" s="20"/>
      <c r="S88" s="22"/>
      <c r="T88" s="20" t="str">
        <f>IF(AND(C88&gt;='Campaign Metadata'!B$2,Posts!C88&lt;='Campaign Metadata'!C$2),"During","Before/After")</f>
        <v>Before/After</v>
      </c>
      <c r="U88" s="20" t="str">
        <f>IF(AND(C88&gt;='Campaign Metadata'!B$3,Posts!C88&lt;='Campaign Metadata'!C$3),"During","Before/After")</f>
        <v>Before/After</v>
      </c>
      <c r="V88" s="20" t="str">
        <f>IF(AND(C88&gt;='Campaign Metadata'!B$4,Posts!C88&lt;='Campaign Metadata'!C$4),"During","Before/After")</f>
        <v>Before/After</v>
      </c>
      <c r="W88" s="50" t="str">
        <f>IF(AND(C88&gt;='Campaign Metadata'!B$5,Posts!C88&lt;='Campaign Metadata'!C$5),"During","Before/After")</f>
        <v>Before/After</v>
      </c>
    </row>
    <row r="89" spans="1:23" x14ac:dyDescent="0.25">
      <c r="A89" s="49" t="s">
        <v>287</v>
      </c>
      <c r="B89" s="92" t="s">
        <v>30</v>
      </c>
      <c r="C89" s="35" t="s">
        <v>178</v>
      </c>
      <c r="D89" s="17" t="s">
        <v>42</v>
      </c>
      <c r="E89" s="17" t="s">
        <v>85</v>
      </c>
      <c r="F89" s="18">
        <v>4158</v>
      </c>
      <c r="G89" s="18">
        <v>167</v>
      </c>
      <c r="H89" s="18">
        <v>241</v>
      </c>
      <c r="I89" s="18">
        <v>45738</v>
      </c>
      <c r="J89" s="18">
        <f t="shared" si="2"/>
        <v>4325.0052691416331</v>
      </c>
      <c r="K89" s="18">
        <f t="shared" si="3"/>
        <v>4566</v>
      </c>
      <c r="L89" s="18">
        <v>45183</v>
      </c>
      <c r="M89" s="18">
        <v>142</v>
      </c>
      <c r="N89" s="19" t="s">
        <v>59</v>
      </c>
      <c r="O89" s="20"/>
      <c r="P89" s="20"/>
      <c r="Q89" s="20"/>
      <c r="R89" s="20"/>
      <c r="S89" s="22"/>
      <c r="T89" s="20" t="str">
        <f>IF(AND(C89&gt;='Campaign Metadata'!B$2,Posts!C89&lt;='Campaign Metadata'!C$2),"During","Before/After")</f>
        <v>Before/After</v>
      </c>
      <c r="U89" s="20" t="str">
        <f>IF(AND(C89&gt;='Campaign Metadata'!B$3,Posts!C89&lt;='Campaign Metadata'!C$3),"During","Before/After")</f>
        <v>During</v>
      </c>
      <c r="V89" s="20" t="str">
        <f>IF(AND(C89&gt;='Campaign Metadata'!B$4,Posts!C89&lt;='Campaign Metadata'!C$4),"During","Before/After")</f>
        <v>Before/After</v>
      </c>
      <c r="W89" s="50" t="str">
        <f>IF(AND(C89&gt;='Campaign Metadata'!B$5,Posts!C89&lt;='Campaign Metadata'!C$5),"During","Before/After")</f>
        <v>Before/After</v>
      </c>
    </row>
    <row r="90" spans="1:23" x14ac:dyDescent="0.25">
      <c r="A90" s="49" t="s">
        <v>288</v>
      </c>
      <c r="B90" s="92" t="s">
        <v>40</v>
      </c>
      <c r="C90" s="35" t="s">
        <v>217</v>
      </c>
      <c r="D90" s="17" t="s">
        <v>15</v>
      </c>
      <c r="E90" s="17" t="s">
        <v>62</v>
      </c>
      <c r="F90" s="18">
        <v>3452</v>
      </c>
      <c r="G90" s="18">
        <v>652</v>
      </c>
      <c r="H90" s="18">
        <v>442</v>
      </c>
      <c r="I90" s="18">
        <v>65588</v>
      </c>
      <c r="J90" s="18">
        <f t="shared" si="2"/>
        <v>4104.0067390376289</v>
      </c>
      <c r="K90" s="18">
        <f t="shared" si="3"/>
        <v>4546</v>
      </c>
      <c r="L90" s="18">
        <v>65049</v>
      </c>
      <c r="M90" s="18">
        <v>158</v>
      </c>
      <c r="N90" s="19" t="s">
        <v>59</v>
      </c>
      <c r="O90" s="20"/>
      <c r="P90" s="20"/>
      <c r="Q90" s="20"/>
      <c r="R90" s="20"/>
      <c r="S90" s="22" t="s">
        <v>28</v>
      </c>
      <c r="T90" s="20" t="str">
        <f>IF(AND(C90&gt;='Campaign Metadata'!B$2,Posts!C90&lt;='Campaign Metadata'!C$2),"During","Before/After")</f>
        <v>Before/After</v>
      </c>
      <c r="U90" s="20" t="str">
        <f>IF(AND(C90&gt;='Campaign Metadata'!B$3,Posts!C90&lt;='Campaign Metadata'!C$3),"During","Before/After")</f>
        <v>Before/After</v>
      </c>
      <c r="V90" s="20" t="str">
        <f>IF(AND(C90&gt;='Campaign Metadata'!B$4,Posts!C90&lt;='Campaign Metadata'!C$4),"During","Before/After")</f>
        <v>Before/After</v>
      </c>
      <c r="W90" s="50" t="str">
        <f>IF(AND(C90&gt;='Campaign Metadata'!B$5,Posts!C90&lt;='Campaign Metadata'!C$5),"During","Before/After")</f>
        <v>Before/After</v>
      </c>
    </row>
    <row r="91" spans="1:23" x14ac:dyDescent="0.25">
      <c r="A91" s="49" t="s">
        <v>483</v>
      </c>
      <c r="B91" s="92" t="s">
        <v>40</v>
      </c>
      <c r="C91" s="35" t="s">
        <v>19</v>
      </c>
      <c r="D91" s="17" t="s">
        <v>32</v>
      </c>
      <c r="E91" s="17" t="s">
        <v>68</v>
      </c>
      <c r="F91" s="18">
        <v>3767</v>
      </c>
      <c r="G91" s="18">
        <v>514</v>
      </c>
      <c r="H91" s="18">
        <v>238</v>
      </c>
      <c r="I91" s="18">
        <v>37670</v>
      </c>
      <c r="J91" s="18">
        <f t="shared" si="2"/>
        <v>4281.0063180249535</v>
      </c>
      <c r="K91" s="18">
        <f t="shared" si="3"/>
        <v>4519</v>
      </c>
      <c r="L91" s="18">
        <v>36807</v>
      </c>
      <c r="M91" s="18">
        <v>226</v>
      </c>
      <c r="N91" s="19" t="s">
        <v>59</v>
      </c>
      <c r="O91" s="20"/>
      <c r="P91" s="20"/>
      <c r="Q91" s="20"/>
      <c r="R91" s="20"/>
      <c r="S91" s="22" t="s">
        <v>35</v>
      </c>
      <c r="T91" s="20" t="str">
        <f>IF(AND(C91&gt;='Campaign Metadata'!B$2,Posts!C91&lt;='Campaign Metadata'!C$2),"During","Before/After")</f>
        <v>Before/After</v>
      </c>
      <c r="U91" s="20" t="str">
        <f>IF(AND(C91&gt;='Campaign Metadata'!B$3,Posts!C91&lt;='Campaign Metadata'!C$3),"During","Before/After")</f>
        <v>Before/After</v>
      </c>
      <c r="V91" s="20" t="str">
        <f>IF(AND(C91&gt;='Campaign Metadata'!B$4,Posts!C91&lt;='Campaign Metadata'!C$4),"During","Before/After")</f>
        <v>Before/After</v>
      </c>
      <c r="W91" s="50" t="str">
        <f>IF(AND(C91&gt;='Campaign Metadata'!B$5,Posts!C91&lt;='Campaign Metadata'!C$5),"During","Before/After")</f>
        <v>Before/After</v>
      </c>
    </row>
    <row r="92" spans="1:23" x14ac:dyDescent="0.25">
      <c r="A92" s="49" t="s">
        <v>453</v>
      </c>
      <c r="B92" s="92" t="s">
        <v>40</v>
      </c>
      <c r="C92" s="35" t="s">
        <v>383</v>
      </c>
      <c r="D92" s="17" t="s">
        <v>49</v>
      </c>
      <c r="E92" s="17" t="s">
        <v>56</v>
      </c>
      <c r="F92" s="18">
        <v>3196</v>
      </c>
      <c r="G92" s="18">
        <v>941</v>
      </c>
      <c r="H92" s="18">
        <v>376</v>
      </c>
      <c r="I92" s="18">
        <v>35156</v>
      </c>
      <c r="J92" s="18">
        <f t="shared" si="2"/>
        <v>4137.0106951871658</v>
      </c>
      <c r="K92" s="18">
        <f t="shared" si="3"/>
        <v>4513</v>
      </c>
      <c r="L92" s="18">
        <v>34444</v>
      </c>
      <c r="M92" s="18">
        <v>241</v>
      </c>
      <c r="N92" s="19" t="s">
        <v>27</v>
      </c>
      <c r="O92" s="20"/>
      <c r="P92" s="20"/>
      <c r="Q92" s="20"/>
      <c r="R92" s="20"/>
      <c r="S92" s="22" t="s">
        <v>28</v>
      </c>
      <c r="T92" s="20" t="str">
        <f>IF(AND(C92&gt;='Campaign Metadata'!B$2,Posts!C92&lt;='Campaign Metadata'!C$2),"During","Before/After")</f>
        <v>Before/After</v>
      </c>
      <c r="U92" s="20" t="str">
        <f>IF(AND(C92&gt;='Campaign Metadata'!B$3,Posts!C92&lt;='Campaign Metadata'!C$3),"During","Before/After")</f>
        <v>Before/After</v>
      </c>
      <c r="V92" s="20" t="str">
        <f>IF(AND(C92&gt;='Campaign Metadata'!B$4,Posts!C92&lt;='Campaign Metadata'!C$4),"During","Before/After")</f>
        <v>Before/After</v>
      </c>
      <c r="W92" s="50" t="str">
        <f>IF(AND(C92&gt;='Campaign Metadata'!B$5,Posts!C92&lt;='Campaign Metadata'!C$5),"During","Before/After")</f>
        <v>Before/After</v>
      </c>
    </row>
    <row r="93" spans="1:23" x14ac:dyDescent="0.25">
      <c r="A93" s="49" t="s">
        <v>248</v>
      </c>
      <c r="B93" s="92" t="s">
        <v>24</v>
      </c>
      <c r="C93" s="35" t="s">
        <v>249</v>
      </c>
      <c r="D93" s="17" t="s">
        <v>32</v>
      </c>
      <c r="E93" s="17" t="s">
        <v>150</v>
      </c>
      <c r="F93" s="18">
        <v>3655</v>
      </c>
      <c r="G93" s="18">
        <v>568</v>
      </c>
      <c r="H93" s="18">
        <v>286</v>
      </c>
      <c r="I93" s="18">
        <v>32895</v>
      </c>
      <c r="J93" s="18">
        <f t="shared" si="2"/>
        <v>4223.008694330445</v>
      </c>
      <c r="K93" s="18">
        <f t="shared" si="3"/>
        <v>4509</v>
      </c>
      <c r="L93" s="18">
        <v>32015</v>
      </c>
      <c r="M93" s="18">
        <v>199</v>
      </c>
      <c r="N93" s="19" t="s">
        <v>27</v>
      </c>
      <c r="O93" s="20"/>
      <c r="P93" s="20"/>
      <c r="Q93" s="20"/>
      <c r="R93" s="20"/>
      <c r="S93" s="22" t="s">
        <v>28</v>
      </c>
      <c r="T93" s="20" t="str">
        <f>IF(AND(C93&gt;='Campaign Metadata'!B$2,Posts!C93&lt;='Campaign Metadata'!C$2),"During","Before/After")</f>
        <v>Before/After</v>
      </c>
      <c r="U93" s="20" t="str">
        <f>IF(AND(C93&gt;='Campaign Metadata'!B$3,Posts!C93&lt;='Campaign Metadata'!C$3),"During","Before/After")</f>
        <v>During</v>
      </c>
      <c r="V93" s="20" t="str">
        <f>IF(AND(C93&gt;='Campaign Metadata'!B$4,Posts!C93&lt;='Campaign Metadata'!C$4),"During","Before/After")</f>
        <v>Before/After</v>
      </c>
      <c r="W93" s="50" t="str">
        <f>IF(AND(C93&gt;='Campaign Metadata'!B$5,Posts!C93&lt;='Campaign Metadata'!C$5),"During","Before/After")</f>
        <v>Before/After</v>
      </c>
    </row>
    <row r="94" spans="1:23" x14ac:dyDescent="0.25">
      <c r="A94" s="49" t="s">
        <v>47</v>
      </c>
      <c r="B94" s="92" t="s">
        <v>24</v>
      </c>
      <c r="C94" s="35" t="s">
        <v>48</v>
      </c>
      <c r="D94" s="17" t="s">
        <v>49</v>
      </c>
      <c r="E94" s="17" t="s">
        <v>50</v>
      </c>
      <c r="F94" s="18">
        <v>3929</v>
      </c>
      <c r="G94" s="18">
        <v>262</v>
      </c>
      <c r="H94" s="18">
        <v>278</v>
      </c>
      <c r="I94" s="18">
        <v>43219</v>
      </c>
      <c r="J94" s="18">
        <f t="shared" si="2"/>
        <v>4191.0064323561401</v>
      </c>
      <c r="K94" s="18">
        <f t="shared" si="3"/>
        <v>4469</v>
      </c>
      <c r="L94" s="18">
        <v>42841</v>
      </c>
      <c r="M94" s="18">
        <v>39</v>
      </c>
      <c r="N94" s="19" t="s">
        <v>34</v>
      </c>
      <c r="O94" s="20"/>
      <c r="P94" s="20"/>
      <c r="Q94" s="20"/>
      <c r="R94" s="20"/>
      <c r="S94" s="22" t="s">
        <v>35</v>
      </c>
      <c r="T94" s="20" t="str">
        <f>IF(AND(C94&gt;='Campaign Metadata'!B$2,Posts!C94&lt;='Campaign Metadata'!C$2),"During","Before/After")</f>
        <v>During</v>
      </c>
      <c r="U94" s="20" t="str">
        <f>IF(AND(C94&gt;='Campaign Metadata'!B$3,Posts!C94&lt;='Campaign Metadata'!C$3),"During","Before/After")</f>
        <v>Before/After</v>
      </c>
      <c r="V94" s="20" t="str">
        <f>IF(AND(C94&gt;='Campaign Metadata'!B$4,Posts!C94&lt;='Campaign Metadata'!C$4),"During","Before/After")</f>
        <v>Before/After</v>
      </c>
      <c r="W94" s="50" t="str">
        <f>IF(AND(C94&gt;='Campaign Metadata'!B$5,Posts!C94&lt;='Campaign Metadata'!C$5),"During","Before/After")</f>
        <v>Before/After</v>
      </c>
    </row>
    <row r="95" spans="1:23" x14ac:dyDescent="0.25">
      <c r="A95" s="49" t="s">
        <v>301</v>
      </c>
      <c r="B95" s="92" t="s">
        <v>30</v>
      </c>
      <c r="C95" s="35" t="s">
        <v>302</v>
      </c>
      <c r="D95" s="17" t="s">
        <v>20</v>
      </c>
      <c r="E95" s="17" t="s">
        <v>109</v>
      </c>
      <c r="F95" s="18">
        <v>3134</v>
      </c>
      <c r="G95" s="18">
        <v>888</v>
      </c>
      <c r="H95" s="18">
        <v>444</v>
      </c>
      <c r="I95" s="18">
        <v>21938</v>
      </c>
      <c r="J95" s="18">
        <f t="shared" si="2"/>
        <v>4022.0202388549551</v>
      </c>
      <c r="K95" s="18">
        <f t="shared" si="3"/>
        <v>4466</v>
      </c>
      <c r="L95" s="18">
        <v>21337</v>
      </c>
      <c r="M95" s="18">
        <v>130</v>
      </c>
      <c r="N95" s="19" t="s">
        <v>34</v>
      </c>
      <c r="O95" s="20"/>
      <c r="P95" s="20"/>
      <c r="Q95" s="20"/>
      <c r="R95" s="20"/>
      <c r="S95" s="22" t="s">
        <v>35</v>
      </c>
      <c r="T95" s="20" t="str">
        <f>IF(AND(C95&gt;='Campaign Metadata'!B$2,Posts!C95&lt;='Campaign Metadata'!C$2),"During","Before/After")</f>
        <v>During</v>
      </c>
      <c r="U95" s="20" t="str">
        <f>IF(AND(C95&gt;='Campaign Metadata'!B$3,Posts!C95&lt;='Campaign Metadata'!C$3),"During","Before/After")</f>
        <v>Before/After</v>
      </c>
      <c r="V95" s="20" t="str">
        <f>IF(AND(C95&gt;='Campaign Metadata'!B$4,Posts!C95&lt;='Campaign Metadata'!C$4),"During","Before/After")</f>
        <v>Before/After</v>
      </c>
      <c r="W95" s="50" t="str">
        <f>IF(AND(C95&gt;='Campaign Metadata'!B$5,Posts!C95&lt;='Campaign Metadata'!C$5),"During","Before/After")</f>
        <v>Before/After</v>
      </c>
    </row>
    <row r="96" spans="1:23" x14ac:dyDescent="0.25">
      <c r="A96" s="49" t="s">
        <v>507</v>
      </c>
      <c r="B96" s="92" t="s">
        <v>30</v>
      </c>
      <c r="C96" s="35" t="s">
        <v>508</v>
      </c>
      <c r="D96" s="17" t="s">
        <v>71</v>
      </c>
      <c r="E96" s="17" t="s">
        <v>82</v>
      </c>
      <c r="F96" s="18">
        <v>3575</v>
      </c>
      <c r="G96" s="18">
        <v>749</v>
      </c>
      <c r="H96" s="18">
        <v>111</v>
      </c>
      <c r="I96" s="18">
        <v>21450</v>
      </c>
      <c r="J96" s="18">
        <f t="shared" si="2"/>
        <v>4324.0051748251744</v>
      </c>
      <c r="K96" s="18">
        <f t="shared" si="3"/>
        <v>4435</v>
      </c>
      <c r="L96" s="18">
        <v>20785</v>
      </c>
      <c r="M96" s="18">
        <v>195</v>
      </c>
      <c r="N96" s="19" t="s">
        <v>34</v>
      </c>
      <c r="O96" s="20"/>
      <c r="P96" s="20"/>
      <c r="Q96" s="20"/>
      <c r="R96" s="20"/>
      <c r="S96" s="22" t="s">
        <v>22</v>
      </c>
      <c r="T96" s="20" t="str">
        <f>IF(AND(C96&gt;='Campaign Metadata'!B$2,Posts!C96&lt;='Campaign Metadata'!C$2),"During","Before/After")</f>
        <v>Before/After</v>
      </c>
      <c r="U96" s="20" t="str">
        <f>IF(AND(C96&gt;='Campaign Metadata'!B$3,Posts!C96&lt;='Campaign Metadata'!C$3),"During","Before/After")</f>
        <v>Before/After</v>
      </c>
      <c r="V96" s="20" t="str">
        <f>IF(AND(C96&gt;='Campaign Metadata'!B$4,Posts!C96&lt;='Campaign Metadata'!C$4),"During","Before/After")</f>
        <v>During</v>
      </c>
      <c r="W96" s="50" t="str">
        <f>IF(AND(C96&gt;='Campaign Metadata'!B$5,Posts!C96&lt;='Campaign Metadata'!C$5),"During","Before/After")</f>
        <v>Before/After</v>
      </c>
    </row>
    <row r="97" spans="1:23" x14ac:dyDescent="0.25">
      <c r="A97" s="49" t="s">
        <v>281</v>
      </c>
      <c r="B97" s="92" t="s">
        <v>30</v>
      </c>
      <c r="C97" s="35" t="s">
        <v>267</v>
      </c>
      <c r="D97" s="17" t="s">
        <v>20</v>
      </c>
      <c r="E97" s="17" t="s">
        <v>109</v>
      </c>
      <c r="F97" s="18">
        <v>3432</v>
      </c>
      <c r="G97" s="18">
        <v>869</v>
      </c>
      <c r="H97" s="18">
        <v>123</v>
      </c>
      <c r="I97" s="18">
        <v>54912</v>
      </c>
      <c r="J97" s="18">
        <f t="shared" si="2"/>
        <v>4301.0022399475529</v>
      </c>
      <c r="K97" s="18">
        <f t="shared" si="3"/>
        <v>4424</v>
      </c>
      <c r="L97" s="18">
        <v>53916</v>
      </c>
      <c r="M97" s="18">
        <v>264</v>
      </c>
      <c r="N97" s="19" t="s">
        <v>34</v>
      </c>
      <c r="O97" s="20"/>
      <c r="P97" s="20"/>
      <c r="Q97" s="20"/>
      <c r="R97" s="20"/>
      <c r="S97" s="22" t="s">
        <v>22</v>
      </c>
      <c r="T97" s="20" t="str">
        <f>IF(AND(C97&gt;='Campaign Metadata'!B$2,Posts!C97&lt;='Campaign Metadata'!C$2),"During","Before/After")</f>
        <v>Before/After</v>
      </c>
      <c r="U97" s="20" t="str">
        <f>IF(AND(C97&gt;='Campaign Metadata'!B$3,Posts!C97&lt;='Campaign Metadata'!C$3),"During","Before/After")</f>
        <v>Before/After</v>
      </c>
      <c r="V97" s="20" t="str">
        <f>IF(AND(C97&gt;='Campaign Metadata'!B$4,Posts!C97&lt;='Campaign Metadata'!C$4),"During","Before/After")</f>
        <v>During</v>
      </c>
      <c r="W97" s="50" t="str">
        <f>IF(AND(C97&gt;='Campaign Metadata'!B$5,Posts!C97&lt;='Campaign Metadata'!C$5),"During","Before/After")</f>
        <v>Before/After</v>
      </c>
    </row>
    <row r="98" spans="1:23" x14ac:dyDescent="0.25">
      <c r="A98" s="49" t="s">
        <v>402</v>
      </c>
      <c r="B98" s="92" t="s">
        <v>40</v>
      </c>
      <c r="C98" s="35" t="s">
        <v>403</v>
      </c>
      <c r="D98" s="17" t="s">
        <v>15</v>
      </c>
      <c r="E98" s="17" t="s">
        <v>62</v>
      </c>
      <c r="F98" s="18">
        <v>3718</v>
      </c>
      <c r="G98" s="18">
        <v>385</v>
      </c>
      <c r="H98" s="18">
        <v>310</v>
      </c>
      <c r="I98" s="18">
        <v>70642</v>
      </c>
      <c r="J98" s="18">
        <f t="shared" si="2"/>
        <v>4103.0043883242261</v>
      </c>
      <c r="K98" s="18">
        <f t="shared" si="3"/>
        <v>4413</v>
      </c>
      <c r="L98" s="18">
        <v>69749</v>
      </c>
      <c r="M98" s="18">
        <v>233</v>
      </c>
      <c r="N98" s="19" t="s">
        <v>27</v>
      </c>
      <c r="O98" s="20"/>
      <c r="P98" s="20"/>
      <c r="Q98" s="20"/>
      <c r="R98" s="20"/>
      <c r="S98" s="22" t="s">
        <v>22</v>
      </c>
      <c r="T98" s="20" t="str">
        <f>IF(AND(C98&gt;='Campaign Metadata'!B$2,Posts!C98&lt;='Campaign Metadata'!C$2),"During","Before/After")</f>
        <v>Before/After</v>
      </c>
      <c r="U98" s="20" t="str">
        <f>IF(AND(C98&gt;='Campaign Metadata'!B$3,Posts!C98&lt;='Campaign Metadata'!C$3),"During","Before/After")</f>
        <v>Before/After</v>
      </c>
      <c r="V98" s="20" t="str">
        <f>IF(AND(C98&gt;='Campaign Metadata'!B$4,Posts!C98&lt;='Campaign Metadata'!C$4),"During","Before/After")</f>
        <v>Before/After</v>
      </c>
      <c r="W98" s="50" t="str">
        <f>IF(AND(C98&gt;='Campaign Metadata'!B$5,Posts!C98&lt;='Campaign Metadata'!C$5),"During","Before/After")</f>
        <v>Before/After</v>
      </c>
    </row>
    <row r="99" spans="1:23" x14ac:dyDescent="0.25">
      <c r="A99" s="49" t="s">
        <v>309</v>
      </c>
      <c r="B99" s="92" t="s">
        <v>13</v>
      </c>
      <c r="C99" s="35" t="s">
        <v>310</v>
      </c>
      <c r="D99" s="17" t="s">
        <v>49</v>
      </c>
      <c r="E99" s="17" t="s">
        <v>128</v>
      </c>
      <c r="F99" s="18">
        <v>3170</v>
      </c>
      <c r="G99" s="18">
        <v>857</v>
      </c>
      <c r="H99" s="18">
        <v>379</v>
      </c>
      <c r="I99" s="18">
        <v>19020</v>
      </c>
      <c r="J99" s="18">
        <f t="shared" si="2"/>
        <v>4027.0199263932705</v>
      </c>
      <c r="K99" s="18">
        <f t="shared" si="3"/>
        <v>4406</v>
      </c>
      <c r="L99" s="18">
        <v>18559</v>
      </c>
      <c r="M99" s="18">
        <v>240</v>
      </c>
      <c r="N99" s="19" t="s">
        <v>59</v>
      </c>
      <c r="O99" s="20"/>
      <c r="P99" s="20"/>
      <c r="Q99" s="20"/>
      <c r="R99" s="20"/>
      <c r="S99" s="22"/>
      <c r="T99" s="20" t="str">
        <f>IF(AND(C99&gt;='Campaign Metadata'!B$2,Posts!C99&lt;='Campaign Metadata'!C$2),"During","Before/After")</f>
        <v>Before/After</v>
      </c>
      <c r="U99" s="20" t="str">
        <f>IF(AND(C99&gt;='Campaign Metadata'!B$3,Posts!C99&lt;='Campaign Metadata'!C$3),"During","Before/After")</f>
        <v>Before/After</v>
      </c>
      <c r="V99" s="20" t="str">
        <f>IF(AND(C99&gt;='Campaign Metadata'!B$4,Posts!C99&lt;='Campaign Metadata'!C$4),"During","Before/After")</f>
        <v>Before/After</v>
      </c>
      <c r="W99" s="50" t="str">
        <f>IF(AND(C99&gt;='Campaign Metadata'!B$5,Posts!C99&lt;='Campaign Metadata'!C$5),"During","Before/After")</f>
        <v>Before/After</v>
      </c>
    </row>
    <row r="100" spans="1:23" x14ac:dyDescent="0.25">
      <c r="A100" s="49" t="s">
        <v>385</v>
      </c>
      <c r="B100" s="92" t="s">
        <v>40</v>
      </c>
      <c r="C100" s="35" t="s">
        <v>227</v>
      </c>
      <c r="D100" s="17" t="s">
        <v>15</v>
      </c>
      <c r="E100" s="17" t="s">
        <v>62</v>
      </c>
      <c r="F100" s="18">
        <v>3360</v>
      </c>
      <c r="G100" s="18">
        <v>525</v>
      </c>
      <c r="H100" s="18">
        <v>500</v>
      </c>
      <c r="I100" s="18">
        <v>60480</v>
      </c>
      <c r="J100" s="18">
        <f t="shared" si="2"/>
        <v>3885.0082671957671</v>
      </c>
      <c r="K100" s="18">
        <f t="shared" si="3"/>
        <v>4385</v>
      </c>
      <c r="L100" s="18">
        <v>59610</v>
      </c>
      <c r="M100" s="18">
        <v>192</v>
      </c>
      <c r="N100" s="19" t="s">
        <v>27</v>
      </c>
      <c r="O100" s="20"/>
      <c r="P100" s="20"/>
      <c r="Q100" s="20"/>
      <c r="R100" s="20"/>
      <c r="S100" s="21" t="s">
        <v>17</v>
      </c>
      <c r="T100" s="20" t="str">
        <f>IF(AND(C100&gt;='Campaign Metadata'!B$2,Posts!C100&lt;='Campaign Metadata'!C$2),"During","Before/After")</f>
        <v>Before/After</v>
      </c>
      <c r="U100" s="20" t="str">
        <f>IF(AND(C100&gt;='Campaign Metadata'!B$3,Posts!C100&lt;='Campaign Metadata'!C$3),"During","Before/After")</f>
        <v>During</v>
      </c>
      <c r="V100" s="20" t="str">
        <f>IF(AND(C100&gt;='Campaign Metadata'!B$4,Posts!C100&lt;='Campaign Metadata'!C$4),"During","Before/After")</f>
        <v>Before/After</v>
      </c>
      <c r="W100" s="50" t="str">
        <f>IF(AND(C100&gt;='Campaign Metadata'!B$5,Posts!C100&lt;='Campaign Metadata'!C$5),"During","Before/After")</f>
        <v>Before/After</v>
      </c>
    </row>
    <row r="101" spans="1:23" x14ac:dyDescent="0.25">
      <c r="A101" s="49" t="s">
        <v>377</v>
      </c>
      <c r="B101" s="92" t="s">
        <v>13</v>
      </c>
      <c r="C101" s="35" t="s">
        <v>378</v>
      </c>
      <c r="D101" s="17" t="s">
        <v>49</v>
      </c>
      <c r="E101" s="17" t="s">
        <v>128</v>
      </c>
      <c r="F101" s="18">
        <v>3215</v>
      </c>
      <c r="G101" s="18">
        <v>960</v>
      </c>
      <c r="H101" s="18">
        <v>202</v>
      </c>
      <c r="I101" s="18">
        <v>32150</v>
      </c>
      <c r="J101" s="18">
        <f t="shared" si="2"/>
        <v>4175.0062830482111</v>
      </c>
      <c r="K101" s="18">
        <f t="shared" si="3"/>
        <v>4377</v>
      </c>
      <c r="L101" s="18">
        <v>31404</v>
      </c>
      <c r="M101" s="18">
        <v>251</v>
      </c>
      <c r="N101" s="19" t="s">
        <v>34</v>
      </c>
      <c r="O101" s="20"/>
      <c r="P101" s="20"/>
      <c r="Q101" s="20"/>
      <c r="R101" s="20"/>
      <c r="S101" s="21" t="s">
        <v>17</v>
      </c>
      <c r="T101" s="20" t="str">
        <f>IF(AND(C101&gt;='Campaign Metadata'!B$2,Posts!C101&lt;='Campaign Metadata'!C$2),"During","Before/After")</f>
        <v>Before/After</v>
      </c>
      <c r="U101" s="20" t="str">
        <f>IF(AND(C101&gt;='Campaign Metadata'!B$3,Posts!C101&lt;='Campaign Metadata'!C$3),"During","Before/After")</f>
        <v>Before/After</v>
      </c>
      <c r="V101" s="20" t="str">
        <f>IF(AND(C101&gt;='Campaign Metadata'!B$4,Posts!C101&lt;='Campaign Metadata'!C$4),"During","Before/After")</f>
        <v>Before/After</v>
      </c>
      <c r="W101" s="50" t="str">
        <f>IF(AND(C101&gt;='Campaign Metadata'!B$5,Posts!C101&lt;='Campaign Metadata'!C$5),"During","Before/After")</f>
        <v>Before/After</v>
      </c>
    </row>
    <row r="102" spans="1:23" x14ac:dyDescent="0.25">
      <c r="A102" s="49" t="s">
        <v>486</v>
      </c>
      <c r="B102" s="92" t="s">
        <v>30</v>
      </c>
      <c r="C102" s="35" t="s">
        <v>487</v>
      </c>
      <c r="D102" s="17" t="s">
        <v>32</v>
      </c>
      <c r="E102" s="17" t="s">
        <v>33</v>
      </c>
      <c r="F102" s="18">
        <v>3601</v>
      </c>
      <c r="G102" s="18">
        <v>695</v>
      </c>
      <c r="H102" s="18">
        <v>75</v>
      </c>
      <c r="I102" s="18">
        <v>21606</v>
      </c>
      <c r="J102" s="18">
        <f t="shared" si="2"/>
        <v>4296.0034712579836</v>
      </c>
      <c r="K102" s="18">
        <f t="shared" si="3"/>
        <v>4371</v>
      </c>
      <c r="L102" s="18">
        <v>21454</v>
      </c>
      <c r="M102" s="18">
        <v>172</v>
      </c>
      <c r="N102" s="19" t="s">
        <v>34</v>
      </c>
      <c r="O102" s="20"/>
      <c r="P102" s="20"/>
      <c r="Q102" s="20"/>
      <c r="R102" s="20"/>
      <c r="S102" s="22" t="s">
        <v>22</v>
      </c>
      <c r="T102" s="20" t="str">
        <f>IF(AND(C102&gt;='Campaign Metadata'!B$2,Posts!C102&lt;='Campaign Metadata'!C$2),"During","Before/After")</f>
        <v>Before/After</v>
      </c>
      <c r="U102" s="20" t="str">
        <f>IF(AND(C102&gt;='Campaign Metadata'!B$3,Posts!C102&lt;='Campaign Metadata'!C$3),"During","Before/After")</f>
        <v>Before/After</v>
      </c>
      <c r="V102" s="20" t="str">
        <f>IF(AND(C102&gt;='Campaign Metadata'!B$4,Posts!C102&lt;='Campaign Metadata'!C$4),"During","Before/After")</f>
        <v>Before/After</v>
      </c>
      <c r="W102" s="50" t="str">
        <f>IF(AND(C102&gt;='Campaign Metadata'!B$5,Posts!C102&lt;='Campaign Metadata'!C$5),"During","Before/After")</f>
        <v>Before/After</v>
      </c>
    </row>
    <row r="103" spans="1:23" x14ac:dyDescent="0.25">
      <c r="A103" s="49" t="s">
        <v>124</v>
      </c>
      <c r="B103" s="92" t="s">
        <v>40</v>
      </c>
      <c r="C103" s="35" t="s">
        <v>125</v>
      </c>
      <c r="D103" s="17" t="s">
        <v>49</v>
      </c>
      <c r="E103" s="17" t="s">
        <v>56</v>
      </c>
      <c r="F103" s="18">
        <v>3564</v>
      </c>
      <c r="G103" s="18">
        <v>629</v>
      </c>
      <c r="H103" s="18">
        <v>177</v>
      </c>
      <c r="I103" s="18">
        <v>60588</v>
      </c>
      <c r="J103" s="18">
        <f t="shared" si="2"/>
        <v>4193.0029213705684</v>
      </c>
      <c r="K103" s="18">
        <f t="shared" si="3"/>
        <v>4370</v>
      </c>
      <c r="L103" s="18">
        <v>59627</v>
      </c>
      <c r="M103" s="18">
        <v>92</v>
      </c>
      <c r="N103" s="19" t="s">
        <v>27</v>
      </c>
      <c r="O103" s="20"/>
      <c r="P103" s="20"/>
      <c r="Q103" s="20"/>
      <c r="R103" s="20"/>
      <c r="S103" s="22"/>
      <c r="T103" s="20" t="str">
        <f>IF(AND(C103&gt;='Campaign Metadata'!B$2,Posts!C103&lt;='Campaign Metadata'!C$2),"During","Before/After")</f>
        <v>Before/After</v>
      </c>
      <c r="U103" s="20" t="str">
        <f>IF(AND(C103&gt;='Campaign Metadata'!B$3,Posts!C103&lt;='Campaign Metadata'!C$3),"During","Before/After")</f>
        <v>Before/After</v>
      </c>
      <c r="V103" s="20" t="str">
        <f>IF(AND(C103&gt;='Campaign Metadata'!B$4,Posts!C103&lt;='Campaign Metadata'!C$4),"During","Before/After")</f>
        <v>Before/After</v>
      </c>
      <c r="W103" s="50" t="str">
        <f>IF(AND(C103&gt;='Campaign Metadata'!B$5,Posts!C103&lt;='Campaign Metadata'!C$5),"During","Before/After")</f>
        <v>Before/After</v>
      </c>
    </row>
    <row r="104" spans="1:23" x14ac:dyDescent="0.25">
      <c r="A104" s="49" t="s">
        <v>371</v>
      </c>
      <c r="B104" s="92" t="s">
        <v>24</v>
      </c>
      <c r="C104" s="35" t="s">
        <v>353</v>
      </c>
      <c r="D104" s="17" t="s">
        <v>20</v>
      </c>
      <c r="E104" s="17" t="s">
        <v>100</v>
      </c>
      <c r="F104" s="18">
        <v>3711</v>
      </c>
      <c r="G104" s="18">
        <v>352</v>
      </c>
      <c r="H104" s="18">
        <v>290</v>
      </c>
      <c r="I104" s="18">
        <v>48243</v>
      </c>
      <c r="J104" s="18">
        <f t="shared" si="2"/>
        <v>4063.0060112347905</v>
      </c>
      <c r="K104" s="18">
        <f t="shared" si="3"/>
        <v>4353</v>
      </c>
      <c r="L104" s="18">
        <v>47579</v>
      </c>
      <c r="M104" s="18">
        <v>11</v>
      </c>
      <c r="N104" s="19" t="s">
        <v>27</v>
      </c>
      <c r="O104" s="20"/>
      <c r="P104" s="20"/>
      <c r="Q104" s="20"/>
      <c r="R104" s="20"/>
      <c r="S104" s="21" t="s">
        <v>17</v>
      </c>
      <c r="T104" s="20" t="str">
        <f>IF(AND(C104&gt;='Campaign Metadata'!B$2,Posts!C104&lt;='Campaign Metadata'!C$2),"During","Before/After")</f>
        <v>Before/After</v>
      </c>
      <c r="U104" s="20" t="str">
        <f>IF(AND(C104&gt;='Campaign Metadata'!B$3,Posts!C104&lt;='Campaign Metadata'!C$3),"During","Before/After")</f>
        <v>Before/After</v>
      </c>
      <c r="V104" s="20" t="str">
        <f>IF(AND(C104&gt;='Campaign Metadata'!B$4,Posts!C104&lt;='Campaign Metadata'!C$4),"During","Before/After")</f>
        <v>Before/After</v>
      </c>
      <c r="W104" s="50" t="str">
        <f>IF(AND(C104&gt;='Campaign Metadata'!B$5,Posts!C104&lt;='Campaign Metadata'!C$5),"During","Before/After")</f>
        <v>Before/After</v>
      </c>
    </row>
    <row r="105" spans="1:23" x14ac:dyDescent="0.25">
      <c r="A105" s="49" t="s">
        <v>272</v>
      </c>
      <c r="B105" s="92" t="s">
        <v>24</v>
      </c>
      <c r="C105" s="35" t="s">
        <v>273</v>
      </c>
      <c r="D105" s="17" t="s">
        <v>15</v>
      </c>
      <c r="E105" s="17" t="s">
        <v>26</v>
      </c>
      <c r="F105" s="18">
        <v>3704</v>
      </c>
      <c r="G105" s="18">
        <v>186</v>
      </c>
      <c r="H105" s="18">
        <v>458</v>
      </c>
      <c r="I105" s="18">
        <v>25928</v>
      </c>
      <c r="J105" s="18">
        <f t="shared" si="2"/>
        <v>3890.0176643011418</v>
      </c>
      <c r="K105" s="18">
        <f t="shared" si="3"/>
        <v>4348</v>
      </c>
      <c r="L105" s="18">
        <v>25081</v>
      </c>
      <c r="M105" s="18">
        <v>131</v>
      </c>
      <c r="N105" s="19" t="s">
        <v>27</v>
      </c>
      <c r="O105" s="20"/>
      <c r="P105" s="20"/>
      <c r="Q105" s="20"/>
      <c r="R105" s="20"/>
      <c r="S105" s="22"/>
      <c r="T105" s="20" t="str">
        <f>IF(AND(C105&gt;='Campaign Metadata'!B$2,Posts!C105&lt;='Campaign Metadata'!C$2),"During","Before/After")</f>
        <v>Before/After</v>
      </c>
      <c r="U105" s="20" t="str">
        <f>IF(AND(C105&gt;='Campaign Metadata'!B$3,Posts!C105&lt;='Campaign Metadata'!C$3),"During","Before/After")</f>
        <v>During</v>
      </c>
      <c r="V105" s="20" t="str">
        <f>IF(AND(C105&gt;='Campaign Metadata'!B$4,Posts!C105&lt;='Campaign Metadata'!C$4),"During","Before/After")</f>
        <v>Before/After</v>
      </c>
      <c r="W105" s="50" t="str">
        <f>IF(AND(C105&gt;='Campaign Metadata'!B$5,Posts!C105&lt;='Campaign Metadata'!C$5),"During","Before/After")</f>
        <v>Before/After</v>
      </c>
    </row>
    <row r="106" spans="1:23" x14ac:dyDescent="0.25">
      <c r="A106" s="49" t="s">
        <v>44</v>
      </c>
      <c r="B106" s="92" t="s">
        <v>13</v>
      </c>
      <c r="C106" s="35" t="s">
        <v>45</v>
      </c>
      <c r="D106" s="17" t="s">
        <v>42</v>
      </c>
      <c r="E106" s="17" t="s">
        <v>46</v>
      </c>
      <c r="F106" s="18">
        <v>3860</v>
      </c>
      <c r="G106" s="18">
        <v>201</v>
      </c>
      <c r="H106" s="18">
        <v>279</v>
      </c>
      <c r="I106" s="18">
        <v>61760</v>
      </c>
      <c r="J106" s="18">
        <f t="shared" si="2"/>
        <v>4061.0045174870465</v>
      </c>
      <c r="K106" s="18">
        <f t="shared" si="3"/>
        <v>4340</v>
      </c>
      <c r="L106" s="18">
        <v>61660</v>
      </c>
      <c r="M106" s="18">
        <v>235</v>
      </c>
      <c r="N106" s="19" t="s">
        <v>27</v>
      </c>
      <c r="O106" s="20"/>
      <c r="P106" s="20"/>
      <c r="Q106" s="20"/>
      <c r="R106" s="20"/>
      <c r="S106" s="22" t="s">
        <v>22</v>
      </c>
      <c r="T106" s="20" t="str">
        <f>IF(AND(C106&gt;='Campaign Metadata'!B$2,Posts!C106&lt;='Campaign Metadata'!C$2),"During","Before/After")</f>
        <v>During</v>
      </c>
      <c r="U106" s="20" t="str">
        <f>IF(AND(C106&gt;='Campaign Metadata'!B$3,Posts!C106&lt;='Campaign Metadata'!C$3),"During","Before/After")</f>
        <v>Before/After</v>
      </c>
      <c r="V106" s="20" t="str">
        <f>IF(AND(C106&gt;='Campaign Metadata'!B$4,Posts!C106&lt;='Campaign Metadata'!C$4),"During","Before/After")</f>
        <v>Before/After</v>
      </c>
      <c r="W106" s="50" t="str">
        <f>IF(AND(C106&gt;='Campaign Metadata'!B$5,Posts!C106&lt;='Campaign Metadata'!C$5),"During","Before/After")</f>
        <v>Before/After</v>
      </c>
    </row>
    <row r="107" spans="1:23" x14ac:dyDescent="0.25">
      <c r="A107" s="49" t="s">
        <v>120</v>
      </c>
      <c r="B107" s="92" t="s">
        <v>40</v>
      </c>
      <c r="C107" s="35" t="s">
        <v>121</v>
      </c>
      <c r="D107" s="17" t="s">
        <v>42</v>
      </c>
      <c r="E107" s="17" t="s">
        <v>43</v>
      </c>
      <c r="F107" s="18">
        <v>3024</v>
      </c>
      <c r="G107" s="18">
        <v>925</v>
      </c>
      <c r="H107" s="18">
        <v>350</v>
      </c>
      <c r="I107" s="18">
        <v>24192</v>
      </c>
      <c r="J107" s="18">
        <f t="shared" si="2"/>
        <v>3949.0144675925926</v>
      </c>
      <c r="K107" s="18">
        <f t="shared" si="3"/>
        <v>4299</v>
      </c>
      <c r="L107" s="18">
        <v>23518</v>
      </c>
      <c r="M107" s="18">
        <v>36</v>
      </c>
      <c r="N107" s="19" t="s">
        <v>34</v>
      </c>
      <c r="O107" s="20"/>
      <c r="P107" s="20"/>
      <c r="Q107" s="20"/>
      <c r="R107" s="20"/>
      <c r="S107" s="22" t="s">
        <v>22</v>
      </c>
      <c r="T107" s="20" t="str">
        <f>IF(AND(C107&gt;='Campaign Metadata'!B$2,Posts!C107&lt;='Campaign Metadata'!C$2),"During","Before/After")</f>
        <v>Before/After</v>
      </c>
      <c r="U107" s="20" t="str">
        <f>IF(AND(C107&gt;='Campaign Metadata'!B$3,Posts!C107&lt;='Campaign Metadata'!C$3),"During","Before/After")</f>
        <v>Before/After</v>
      </c>
      <c r="V107" s="20" t="str">
        <f>IF(AND(C107&gt;='Campaign Metadata'!B$4,Posts!C107&lt;='Campaign Metadata'!C$4),"During","Before/After")</f>
        <v>Before/After</v>
      </c>
      <c r="W107" s="50" t="str">
        <f>IF(AND(C107&gt;='Campaign Metadata'!B$5,Posts!C107&lt;='Campaign Metadata'!C$5),"During","Before/After")</f>
        <v>During</v>
      </c>
    </row>
    <row r="108" spans="1:23" x14ac:dyDescent="0.25">
      <c r="A108" s="49" t="s">
        <v>501</v>
      </c>
      <c r="B108" s="92" t="s">
        <v>13</v>
      </c>
      <c r="C108" s="35" t="s">
        <v>387</v>
      </c>
      <c r="D108" s="17" t="s">
        <v>15</v>
      </c>
      <c r="E108" s="17" t="s">
        <v>16</v>
      </c>
      <c r="F108" s="18">
        <v>4187</v>
      </c>
      <c r="G108" s="18">
        <v>66</v>
      </c>
      <c r="H108" s="18">
        <v>31</v>
      </c>
      <c r="I108" s="18">
        <v>66992</v>
      </c>
      <c r="J108" s="18">
        <f t="shared" si="2"/>
        <v>4253.0004627418202</v>
      </c>
      <c r="K108" s="18">
        <f t="shared" si="3"/>
        <v>4284</v>
      </c>
      <c r="L108" s="18">
        <v>66614</v>
      </c>
      <c r="M108" s="18">
        <v>62</v>
      </c>
      <c r="N108" s="19" t="s">
        <v>59</v>
      </c>
      <c r="O108" s="20"/>
      <c r="P108" s="20"/>
      <c r="Q108" s="20"/>
      <c r="R108" s="20"/>
      <c r="S108" s="22"/>
      <c r="T108" s="20" t="str">
        <f>IF(AND(C108&gt;='Campaign Metadata'!B$2,Posts!C108&lt;='Campaign Metadata'!C$2),"During","Before/After")</f>
        <v>Before/After</v>
      </c>
      <c r="U108" s="20" t="str">
        <f>IF(AND(C108&gt;='Campaign Metadata'!B$3,Posts!C108&lt;='Campaign Metadata'!C$3),"During","Before/After")</f>
        <v>Before/After</v>
      </c>
      <c r="V108" s="20" t="str">
        <f>IF(AND(C108&gt;='Campaign Metadata'!B$4,Posts!C108&lt;='Campaign Metadata'!C$4),"During","Before/After")</f>
        <v>During</v>
      </c>
      <c r="W108" s="50" t="str">
        <f>IF(AND(C108&gt;='Campaign Metadata'!B$5,Posts!C108&lt;='Campaign Metadata'!C$5),"During","Before/After")</f>
        <v>Before/After</v>
      </c>
    </row>
    <row r="109" spans="1:23" x14ac:dyDescent="0.25">
      <c r="A109" s="49" t="s">
        <v>352</v>
      </c>
      <c r="B109" s="92" t="s">
        <v>24</v>
      </c>
      <c r="C109" s="35" t="s">
        <v>353</v>
      </c>
      <c r="D109" s="17" t="s">
        <v>71</v>
      </c>
      <c r="E109" s="17" t="s">
        <v>212</v>
      </c>
      <c r="F109" s="18">
        <v>3809</v>
      </c>
      <c r="G109" s="18">
        <v>273</v>
      </c>
      <c r="H109" s="18">
        <v>200</v>
      </c>
      <c r="I109" s="18">
        <v>34281</v>
      </c>
      <c r="J109" s="18">
        <f t="shared" si="2"/>
        <v>4082.005834135527</v>
      </c>
      <c r="K109" s="18">
        <f t="shared" si="3"/>
        <v>4282</v>
      </c>
      <c r="L109" s="18">
        <v>33534</v>
      </c>
      <c r="M109" s="18">
        <v>83</v>
      </c>
      <c r="N109" s="19" t="s">
        <v>34</v>
      </c>
      <c r="O109" s="20"/>
      <c r="P109" s="20"/>
      <c r="Q109" s="20"/>
      <c r="R109" s="20"/>
      <c r="S109" s="21" t="s">
        <v>17</v>
      </c>
      <c r="T109" s="20" t="str">
        <f>IF(AND(C109&gt;='Campaign Metadata'!B$2,Posts!C109&lt;='Campaign Metadata'!C$2),"During","Before/After")</f>
        <v>Before/After</v>
      </c>
      <c r="U109" s="20" t="str">
        <f>IF(AND(C109&gt;='Campaign Metadata'!B$3,Posts!C109&lt;='Campaign Metadata'!C$3),"During","Before/After")</f>
        <v>Before/After</v>
      </c>
      <c r="V109" s="20" t="str">
        <f>IF(AND(C109&gt;='Campaign Metadata'!B$4,Posts!C109&lt;='Campaign Metadata'!C$4),"During","Before/After")</f>
        <v>Before/After</v>
      </c>
      <c r="W109" s="50" t="str">
        <f>IF(AND(C109&gt;='Campaign Metadata'!B$5,Posts!C109&lt;='Campaign Metadata'!C$5),"During","Before/After")</f>
        <v>Before/After</v>
      </c>
    </row>
    <row r="110" spans="1:23" x14ac:dyDescent="0.25">
      <c r="A110" s="49" t="s">
        <v>258</v>
      </c>
      <c r="B110" s="92" t="s">
        <v>13</v>
      </c>
      <c r="C110" s="35" t="s">
        <v>259</v>
      </c>
      <c r="D110" s="17" t="s">
        <v>32</v>
      </c>
      <c r="E110" s="17" t="s">
        <v>145</v>
      </c>
      <c r="F110" s="18">
        <v>3649</v>
      </c>
      <c r="G110" s="18">
        <v>215</v>
      </c>
      <c r="H110" s="18">
        <v>413</v>
      </c>
      <c r="I110" s="18">
        <v>25543</v>
      </c>
      <c r="J110" s="18">
        <f t="shared" si="2"/>
        <v>3864.0161688133735</v>
      </c>
      <c r="K110" s="18">
        <f t="shared" si="3"/>
        <v>4277</v>
      </c>
      <c r="L110" s="18">
        <v>24963</v>
      </c>
      <c r="M110" s="18">
        <v>167</v>
      </c>
      <c r="N110" s="19" t="s">
        <v>59</v>
      </c>
      <c r="O110" s="20"/>
      <c r="P110" s="20"/>
      <c r="Q110" s="20"/>
      <c r="R110" s="20"/>
      <c r="S110" s="22" t="s">
        <v>28</v>
      </c>
      <c r="T110" s="20" t="str">
        <f>IF(AND(C110&gt;='Campaign Metadata'!B$2,Posts!C110&lt;='Campaign Metadata'!C$2),"During","Before/After")</f>
        <v>Before/After</v>
      </c>
      <c r="U110" s="20" t="str">
        <f>IF(AND(C110&gt;='Campaign Metadata'!B$3,Posts!C110&lt;='Campaign Metadata'!C$3),"During","Before/After")</f>
        <v>Before/After</v>
      </c>
      <c r="V110" s="20" t="str">
        <f>IF(AND(C110&gt;='Campaign Metadata'!B$4,Posts!C110&lt;='Campaign Metadata'!C$4),"During","Before/After")</f>
        <v>Before/After</v>
      </c>
      <c r="W110" s="50" t="str">
        <f>IF(AND(C110&gt;='Campaign Metadata'!B$5,Posts!C110&lt;='Campaign Metadata'!C$5),"During","Before/After")</f>
        <v>Before/After</v>
      </c>
    </row>
    <row r="111" spans="1:23" x14ac:dyDescent="0.25">
      <c r="A111" s="49" t="s">
        <v>471</v>
      </c>
      <c r="B111" s="92" t="s">
        <v>40</v>
      </c>
      <c r="C111" s="35" t="s">
        <v>472</v>
      </c>
      <c r="D111" s="17" t="s">
        <v>15</v>
      </c>
      <c r="E111" s="17" t="s">
        <v>62</v>
      </c>
      <c r="F111" s="18">
        <v>3960</v>
      </c>
      <c r="G111" s="18">
        <v>266</v>
      </c>
      <c r="H111" s="18">
        <v>8</v>
      </c>
      <c r="I111" s="18">
        <v>35640</v>
      </c>
      <c r="J111" s="18">
        <f t="shared" si="2"/>
        <v>4226.0002244668913</v>
      </c>
      <c r="K111" s="18">
        <f t="shared" si="3"/>
        <v>4234</v>
      </c>
      <c r="L111" s="18">
        <v>34850</v>
      </c>
      <c r="M111" s="18">
        <v>208</v>
      </c>
      <c r="N111" s="19" t="s">
        <v>59</v>
      </c>
      <c r="O111" s="20" t="s">
        <v>34</v>
      </c>
      <c r="P111" s="20" t="s">
        <v>598</v>
      </c>
      <c r="Q111" s="20"/>
      <c r="R111" s="20"/>
      <c r="S111" s="22"/>
      <c r="T111" s="20" t="str">
        <f>IF(AND(C111&gt;='Campaign Metadata'!B$2,Posts!C111&lt;='Campaign Metadata'!C$2),"During","Before/After")</f>
        <v>Before/After</v>
      </c>
      <c r="U111" s="20" t="str">
        <f>IF(AND(C111&gt;='Campaign Metadata'!B$3,Posts!C111&lt;='Campaign Metadata'!C$3),"During","Before/After")</f>
        <v>Before/After</v>
      </c>
      <c r="V111" s="20" t="str">
        <f>IF(AND(C111&gt;='Campaign Metadata'!B$4,Posts!C111&lt;='Campaign Metadata'!C$4),"During","Before/After")</f>
        <v>Before/After</v>
      </c>
      <c r="W111" s="50" t="str">
        <f>IF(AND(C111&gt;='Campaign Metadata'!B$5,Posts!C111&lt;='Campaign Metadata'!C$5),"During","Before/After")</f>
        <v>Before/After</v>
      </c>
    </row>
    <row r="112" spans="1:23" x14ac:dyDescent="0.25">
      <c r="A112" s="49" t="s">
        <v>39</v>
      </c>
      <c r="B112" s="92" t="s">
        <v>40</v>
      </c>
      <c r="C112" s="35" t="s">
        <v>41</v>
      </c>
      <c r="D112" s="17" t="s">
        <v>42</v>
      </c>
      <c r="E112" s="17" t="s">
        <v>43</v>
      </c>
      <c r="F112" s="18">
        <v>2945</v>
      </c>
      <c r="G112" s="18">
        <v>930</v>
      </c>
      <c r="H112" s="18">
        <v>355</v>
      </c>
      <c r="I112" s="18">
        <v>23560</v>
      </c>
      <c r="J112" s="18">
        <f t="shared" si="2"/>
        <v>3875.0150679117146</v>
      </c>
      <c r="K112" s="18">
        <f t="shared" si="3"/>
        <v>4230</v>
      </c>
      <c r="L112" s="18">
        <v>23275</v>
      </c>
      <c r="M112" s="18">
        <v>256</v>
      </c>
      <c r="N112" s="19" t="s">
        <v>27</v>
      </c>
      <c r="O112" s="20"/>
      <c r="P112" s="20"/>
      <c r="Q112" s="20"/>
      <c r="R112" s="20"/>
      <c r="S112" s="22" t="s">
        <v>22</v>
      </c>
      <c r="T112" s="20" t="str">
        <f>IF(AND(C112&gt;='Campaign Metadata'!B$2,Posts!C112&lt;='Campaign Metadata'!C$2),"During","Before/After")</f>
        <v>Before/After</v>
      </c>
      <c r="U112" s="20" t="str">
        <f>IF(AND(C112&gt;='Campaign Metadata'!B$3,Posts!C112&lt;='Campaign Metadata'!C$3),"During","Before/After")</f>
        <v>Before/After</v>
      </c>
      <c r="V112" s="20" t="str">
        <f>IF(AND(C112&gt;='Campaign Metadata'!B$4,Posts!C112&lt;='Campaign Metadata'!C$4),"During","Before/After")</f>
        <v>During</v>
      </c>
      <c r="W112" s="50" t="str">
        <f>IF(AND(C112&gt;='Campaign Metadata'!B$5,Posts!C112&lt;='Campaign Metadata'!C$5),"During","Before/After")</f>
        <v>Before/After</v>
      </c>
    </row>
    <row r="113" spans="1:23" x14ac:dyDescent="0.25">
      <c r="A113" s="49" t="s">
        <v>362</v>
      </c>
      <c r="B113" s="92" t="s">
        <v>40</v>
      </c>
      <c r="C113" s="35" t="s">
        <v>167</v>
      </c>
      <c r="D113" s="17" t="s">
        <v>20</v>
      </c>
      <c r="E113" s="17" t="s">
        <v>53</v>
      </c>
      <c r="F113" s="18">
        <v>3828</v>
      </c>
      <c r="G113" s="18">
        <v>148</v>
      </c>
      <c r="H113" s="18">
        <v>253</v>
      </c>
      <c r="I113" s="18">
        <v>30624</v>
      </c>
      <c r="J113" s="18">
        <f t="shared" si="2"/>
        <v>3976.008261494253</v>
      </c>
      <c r="K113" s="18">
        <f t="shared" si="3"/>
        <v>4229</v>
      </c>
      <c r="L113" s="18">
        <v>30229</v>
      </c>
      <c r="M113" s="18">
        <v>235</v>
      </c>
      <c r="N113" s="19" t="s">
        <v>34</v>
      </c>
      <c r="O113" s="20"/>
      <c r="P113" s="20"/>
      <c r="Q113" s="20"/>
      <c r="R113" s="20"/>
      <c r="S113" s="22"/>
      <c r="T113" s="20" t="str">
        <f>IF(AND(C113&gt;='Campaign Metadata'!B$2,Posts!C113&lt;='Campaign Metadata'!C$2),"During","Before/After")</f>
        <v>During</v>
      </c>
      <c r="U113" s="20" t="str">
        <f>IF(AND(C113&gt;='Campaign Metadata'!B$3,Posts!C113&lt;='Campaign Metadata'!C$3),"During","Before/After")</f>
        <v>Before/After</v>
      </c>
      <c r="V113" s="20" t="str">
        <f>IF(AND(C113&gt;='Campaign Metadata'!B$4,Posts!C113&lt;='Campaign Metadata'!C$4),"During","Before/After")</f>
        <v>Before/After</v>
      </c>
      <c r="W113" s="50" t="str">
        <f>IF(AND(C113&gt;='Campaign Metadata'!B$5,Posts!C113&lt;='Campaign Metadata'!C$5),"During","Before/After")</f>
        <v>Before/After</v>
      </c>
    </row>
    <row r="114" spans="1:23" x14ac:dyDescent="0.25">
      <c r="A114" s="49" t="s">
        <v>73</v>
      </c>
      <c r="B114" s="92" t="s">
        <v>40</v>
      </c>
      <c r="C114" s="35" t="s">
        <v>74</v>
      </c>
      <c r="D114" s="17" t="s">
        <v>20</v>
      </c>
      <c r="E114" s="17" t="s">
        <v>53</v>
      </c>
      <c r="F114" s="18">
        <v>3452</v>
      </c>
      <c r="G114" s="18">
        <v>377</v>
      </c>
      <c r="H114" s="18">
        <v>360</v>
      </c>
      <c r="I114" s="18">
        <v>55232</v>
      </c>
      <c r="J114" s="18">
        <f t="shared" si="2"/>
        <v>3829.0065179606027</v>
      </c>
      <c r="K114" s="18">
        <f t="shared" si="3"/>
        <v>4189</v>
      </c>
      <c r="L114" s="18">
        <v>55075</v>
      </c>
      <c r="M114" s="18">
        <v>87</v>
      </c>
      <c r="N114" s="19" t="s">
        <v>59</v>
      </c>
      <c r="O114" s="20"/>
      <c r="P114" s="20"/>
      <c r="Q114" s="20"/>
      <c r="R114" s="20"/>
      <c r="S114" s="22" t="s">
        <v>28</v>
      </c>
      <c r="T114" s="20" t="str">
        <f>IF(AND(C114&gt;='Campaign Metadata'!B$2,Posts!C114&lt;='Campaign Metadata'!C$2),"During","Before/After")</f>
        <v>Before/After</v>
      </c>
      <c r="U114" s="20" t="str">
        <f>IF(AND(C114&gt;='Campaign Metadata'!B$3,Posts!C114&lt;='Campaign Metadata'!C$3),"During","Before/After")</f>
        <v>Before/After</v>
      </c>
      <c r="V114" s="20" t="str">
        <f>IF(AND(C114&gt;='Campaign Metadata'!B$4,Posts!C114&lt;='Campaign Metadata'!C$4),"During","Before/After")</f>
        <v>Before/After</v>
      </c>
      <c r="W114" s="50" t="str">
        <f>IF(AND(C114&gt;='Campaign Metadata'!B$5,Posts!C114&lt;='Campaign Metadata'!C$5),"During","Before/After")</f>
        <v>Before/After</v>
      </c>
    </row>
    <row r="115" spans="1:23" x14ac:dyDescent="0.25">
      <c r="A115" s="49" t="s">
        <v>512</v>
      </c>
      <c r="B115" s="92" t="s">
        <v>13</v>
      </c>
      <c r="C115" s="35" t="s">
        <v>327</v>
      </c>
      <c r="D115" s="17" t="s">
        <v>42</v>
      </c>
      <c r="E115" s="17" t="s">
        <v>46</v>
      </c>
      <c r="F115" s="18">
        <v>3535</v>
      </c>
      <c r="G115" s="18">
        <v>494</v>
      </c>
      <c r="H115" s="18">
        <v>152</v>
      </c>
      <c r="I115" s="18">
        <v>53025</v>
      </c>
      <c r="J115" s="18">
        <f t="shared" si="2"/>
        <v>4029.0028665723717</v>
      </c>
      <c r="K115" s="18">
        <f t="shared" si="3"/>
        <v>4181</v>
      </c>
      <c r="L115" s="18">
        <v>52791</v>
      </c>
      <c r="M115" s="18">
        <v>44</v>
      </c>
      <c r="N115" s="19" t="s">
        <v>27</v>
      </c>
      <c r="O115" s="20"/>
      <c r="P115" s="20"/>
      <c r="Q115" s="20"/>
      <c r="R115" s="20"/>
      <c r="S115" s="22" t="s">
        <v>35</v>
      </c>
      <c r="T115" s="20" t="str">
        <f>IF(AND(C115&gt;='Campaign Metadata'!B$2,Posts!C115&lt;='Campaign Metadata'!C$2),"During","Before/After")</f>
        <v>Before/After</v>
      </c>
      <c r="U115" s="20" t="str">
        <f>IF(AND(C115&gt;='Campaign Metadata'!B$3,Posts!C115&lt;='Campaign Metadata'!C$3),"During","Before/After")</f>
        <v>Before/After</v>
      </c>
      <c r="V115" s="20" t="str">
        <f>IF(AND(C115&gt;='Campaign Metadata'!B$4,Posts!C115&lt;='Campaign Metadata'!C$4),"During","Before/After")</f>
        <v>Before/After</v>
      </c>
      <c r="W115" s="50" t="str">
        <f>IF(AND(C115&gt;='Campaign Metadata'!B$5,Posts!C115&lt;='Campaign Metadata'!C$5),"During","Before/After")</f>
        <v>During</v>
      </c>
    </row>
    <row r="116" spans="1:23" x14ac:dyDescent="0.25">
      <c r="A116" s="49" t="s">
        <v>342</v>
      </c>
      <c r="B116" s="92" t="s">
        <v>40</v>
      </c>
      <c r="C116" s="35" t="s">
        <v>343</v>
      </c>
      <c r="D116" s="17" t="s">
        <v>32</v>
      </c>
      <c r="E116" s="17" t="s">
        <v>68</v>
      </c>
      <c r="F116" s="18">
        <v>3430</v>
      </c>
      <c r="G116" s="18">
        <v>566</v>
      </c>
      <c r="H116" s="18">
        <v>164</v>
      </c>
      <c r="I116" s="18">
        <v>48020</v>
      </c>
      <c r="J116" s="18">
        <f t="shared" si="2"/>
        <v>3996.0034152436483</v>
      </c>
      <c r="K116" s="18">
        <f t="shared" si="3"/>
        <v>4160</v>
      </c>
      <c r="L116" s="18">
        <v>47305</v>
      </c>
      <c r="M116" s="18">
        <v>120</v>
      </c>
      <c r="N116" s="19" t="s">
        <v>59</v>
      </c>
      <c r="O116" s="20"/>
      <c r="P116" s="20"/>
      <c r="Q116" s="20"/>
      <c r="R116" s="20"/>
      <c r="S116" s="22"/>
      <c r="T116" s="20" t="str">
        <f>IF(AND(C116&gt;='Campaign Metadata'!B$2,Posts!C116&lt;='Campaign Metadata'!C$2),"During","Before/After")</f>
        <v>Before/After</v>
      </c>
      <c r="U116" s="20" t="str">
        <f>IF(AND(C116&gt;='Campaign Metadata'!B$3,Posts!C116&lt;='Campaign Metadata'!C$3),"During","Before/After")</f>
        <v>Before/After</v>
      </c>
      <c r="V116" s="20" t="str">
        <f>IF(AND(C116&gt;='Campaign Metadata'!B$4,Posts!C116&lt;='Campaign Metadata'!C$4),"During","Before/After")</f>
        <v>Before/After</v>
      </c>
      <c r="W116" s="50" t="str">
        <f>IF(AND(C116&gt;='Campaign Metadata'!B$5,Posts!C116&lt;='Campaign Metadata'!C$5),"During","Before/After")</f>
        <v>Before/After</v>
      </c>
    </row>
    <row r="117" spans="1:23" x14ac:dyDescent="0.25">
      <c r="A117" s="49" t="s">
        <v>408</v>
      </c>
      <c r="B117" s="92" t="s">
        <v>30</v>
      </c>
      <c r="C117" s="35" t="s">
        <v>409</v>
      </c>
      <c r="D117" s="17" t="s">
        <v>42</v>
      </c>
      <c r="E117" s="17" t="s">
        <v>85</v>
      </c>
      <c r="F117" s="18">
        <v>3773</v>
      </c>
      <c r="G117" s="18">
        <v>299</v>
      </c>
      <c r="H117" s="18">
        <v>38</v>
      </c>
      <c r="I117" s="18">
        <v>71687</v>
      </c>
      <c r="J117" s="18">
        <f t="shared" si="2"/>
        <v>4072.0005300821626</v>
      </c>
      <c r="K117" s="18">
        <f t="shared" si="3"/>
        <v>4110</v>
      </c>
      <c r="L117" s="18">
        <v>71447</v>
      </c>
      <c r="M117" s="18">
        <v>286</v>
      </c>
      <c r="N117" s="19" t="s">
        <v>59</v>
      </c>
      <c r="O117" s="20"/>
      <c r="P117" s="20"/>
      <c r="Q117" s="20"/>
      <c r="R117" s="20"/>
      <c r="S117" s="21" t="s">
        <v>17</v>
      </c>
      <c r="T117" s="20" t="str">
        <f>IF(AND(C117&gt;='Campaign Metadata'!B$2,Posts!C117&lt;='Campaign Metadata'!C$2),"During","Before/After")</f>
        <v>Before/After</v>
      </c>
      <c r="U117" s="20" t="str">
        <f>IF(AND(C117&gt;='Campaign Metadata'!B$3,Posts!C117&lt;='Campaign Metadata'!C$3),"During","Before/After")</f>
        <v>Before/After</v>
      </c>
      <c r="V117" s="20" t="str">
        <f>IF(AND(C117&gt;='Campaign Metadata'!B$4,Posts!C117&lt;='Campaign Metadata'!C$4),"During","Before/After")</f>
        <v>Before/After</v>
      </c>
      <c r="W117" s="50" t="str">
        <f>IF(AND(C117&gt;='Campaign Metadata'!B$5,Posts!C117&lt;='Campaign Metadata'!C$5),"During","Before/After")</f>
        <v>Before/After</v>
      </c>
    </row>
    <row r="118" spans="1:23" x14ac:dyDescent="0.25">
      <c r="A118" s="49" t="s">
        <v>365</v>
      </c>
      <c r="B118" s="92" t="s">
        <v>40</v>
      </c>
      <c r="C118" s="35" t="s">
        <v>366</v>
      </c>
      <c r="D118" s="17" t="s">
        <v>71</v>
      </c>
      <c r="E118" s="17" t="s">
        <v>72</v>
      </c>
      <c r="F118" s="18">
        <v>3798</v>
      </c>
      <c r="G118" s="18">
        <v>31</v>
      </c>
      <c r="H118" s="18">
        <v>279</v>
      </c>
      <c r="I118" s="18">
        <v>75960</v>
      </c>
      <c r="J118" s="18">
        <f t="shared" si="2"/>
        <v>3829.003672985782</v>
      </c>
      <c r="K118" s="18">
        <f t="shared" si="3"/>
        <v>4108</v>
      </c>
      <c r="L118" s="18">
        <v>75813</v>
      </c>
      <c r="M118" s="18">
        <v>266</v>
      </c>
      <c r="N118" s="19" t="s">
        <v>27</v>
      </c>
      <c r="O118" s="20"/>
      <c r="P118" s="20"/>
      <c r="Q118" s="20"/>
      <c r="R118" s="20"/>
      <c r="S118" s="21" t="s">
        <v>17</v>
      </c>
      <c r="T118" s="20" t="str">
        <f>IF(AND(C118&gt;='Campaign Metadata'!B$2,Posts!C118&lt;='Campaign Metadata'!C$2),"During","Before/After")</f>
        <v>During</v>
      </c>
      <c r="U118" s="20" t="str">
        <f>IF(AND(C118&gt;='Campaign Metadata'!B$3,Posts!C118&lt;='Campaign Metadata'!C$3),"During","Before/After")</f>
        <v>Before/After</v>
      </c>
      <c r="V118" s="20" t="str">
        <f>IF(AND(C118&gt;='Campaign Metadata'!B$4,Posts!C118&lt;='Campaign Metadata'!C$4),"During","Before/After")</f>
        <v>Before/After</v>
      </c>
      <c r="W118" s="50" t="str">
        <f>IF(AND(C118&gt;='Campaign Metadata'!B$5,Posts!C118&lt;='Campaign Metadata'!C$5),"During","Before/After")</f>
        <v>Before/After</v>
      </c>
    </row>
    <row r="119" spans="1:23" x14ac:dyDescent="0.25">
      <c r="A119" s="49" t="s">
        <v>506</v>
      </c>
      <c r="B119" s="92" t="s">
        <v>24</v>
      </c>
      <c r="C119" s="35" t="s">
        <v>405</v>
      </c>
      <c r="D119" s="17" t="s">
        <v>15</v>
      </c>
      <c r="E119" s="17" t="s">
        <v>26</v>
      </c>
      <c r="F119" s="18">
        <v>3774</v>
      </c>
      <c r="G119" s="18">
        <v>239</v>
      </c>
      <c r="H119" s="18">
        <v>39</v>
      </c>
      <c r="I119" s="18">
        <v>60384</v>
      </c>
      <c r="J119" s="18">
        <f t="shared" si="2"/>
        <v>4013.0006458664548</v>
      </c>
      <c r="K119" s="18">
        <f t="shared" si="3"/>
        <v>4052</v>
      </c>
      <c r="L119" s="18">
        <v>59490</v>
      </c>
      <c r="M119" s="18">
        <v>241</v>
      </c>
      <c r="N119" s="19" t="s">
        <v>27</v>
      </c>
      <c r="O119" s="20"/>
      <c r="P119" s="20"/>
      <c r="Q119" s="20"/>
      <c r="R119" s="20"/>
      <c r="S119" s="22" t="s">
        <v>28</v>
      </c>
      <c r="T119" s="20" t="str">
        <f>IF(AND(C119&gt;='Campaign Metadata'!B$2,Posts!C119&lt;='Campaign Metadata'!C$2),"During","Before/After")</f>
        <v>Before/After</v>
      </c>
      <c r="U119" s="20" t="str">
        <f>IF(AND(C119&gt;='Campaign Metadata'!B$3,Posts!C119&lt;='Campaign Metadata'!C$3),"During","Before/After")</f>
        <v>Before/After</v>
      </c>
      <c r="V119" s="20" t="str">
        <f>IF(AND(C119&gt;='Campaign Metadata'!B$4,Posts!C119&lt;='Campaign Metadata'!C$4),"During","Before/After")</f>
        <v>Before/After</v>
      </c>
      <c r="W119" s="50" t="str">
        <f>IF(AND(C119&gt;='Campaign Metadata'!B$5,Posts!C119&lt;='Campaign Metadata'!C$5),"During","Before/After")</f>
        <v>Before/After</v>
      </c>
    </row>
    <row r="120" spans="1:23" x14ac:dyDescent="0.25">
      <c r="A120" s="49" t="s">
        <v>246</v>
      </c>
      <c r="B120" s="92" t="s">
        <v>40</v>
      </c>
      <c r="C120" s="35" t="s">
        <v>247</v>
      </c>
      <c r="D120" s="17" t="s">
        <v>49</v>
      </c>
      <c r="E120" s="17" t="s">
        <v>56</v>
      </c>
      <c r="F120" s="18">
        <v>3689</v>
      </c>
      <c r="G120" s="18">
        <v>48</v>
      </c>
      <c r="H120" s="18">
        <v>306</v>
      </c>
      <c r="I120" s="18">
        <v>40579</v>
      </c>
      <c r="J120" s="18">
        <f t="shared" si="2"/>
        <v>3737.0075408462503</v>
      </c>
      <c r="K120" s="18">
        <f t="shared" si="3"/>
        <v>4043</v>
      </c>
      <c r="L120" s="18">
        <v>39588</v>
      </c>
      <c r="M120" s="18">
        <v>212</v>
      </c>
      <c r="N120" s="19" t="s">
        <v>34</v>
      </c>
      <c r="O120" s="20"/>
      <c r="P120" s="20"/>
      <c r="Q120" s="20"/>
      <c r="R120" s="20"/>
      <c r="S120" s="22" t="s">
        <v>22</v>
      </c>
      <c r="T120" s="20" t="str">
        <f>IF(AND(C120&gt;='Campaign Metadata'!B$2,Posts!C120&lt;='Campaign Metadata'!C$2),"During","Before/After")</f>
        <v>Before/After</v>
      </c>
      <c r="U120" s="20" t="str">
        <f>IF(AND(C120&gt;='Campaign Metadata'!B$3,Posts!C120&lt;='Campaign Metadata'!C$3),"During","Before/After")</f>
        <v>Before/After</v>
      </c>
      <c r="V120" s="20" t="str">
        <f>IF(AND(C120&gt;='Campaign Metadata'!B$4,Posts!C120&lt;='Campaign Metadata'!C$4),"During","Before/After")</f>
        <v>Before/After</v>
      </c>
      <c r="W120" s="50" t="str">
        <f>IF(AND(C120&gt;='Campaign Metadata'!B$5,Posts!C120&lt;='Campaign Metadata'!C$5),"During","Before/After")</f>
        <v>Before/After</v>
      </c>
    </row>
    <row r="121" spans="1:23" x14ac:dyDescent="0.25">
      <c r="A121" s="49" t="s">
        <v>116</v>
      </c>
      <c r="B121" s="92" t="s">
        <v>30</v>
      </c>
      <c r="C121" s="35" t="s">
        <v>117</v>
      </c>
      <c r="D121" s="17" t="s">
        <v>71</v>
      </c>
      <c r="E121" s="17" t="s">
        <v>82</v>
      </c>
      <c r="F121" s="18">
        <v>3775</v>
      </c>
      <c r="G121" s="18">
        <v>16</v>
      </c>
      <c r="H121" s="18">
        <v>239</v>
      </c>
      <c r="I121" s="18">
        <v>33975</v>
      </c>
      <c r="J121" s="18">
        <f t="shared" si="2"/>
        <v>3791.0070345842532</v>
      </c>
      <c r="K121" s="18">
        <f t="shared" si="3"/>
        <v>4030</v>
      </c>
      <c r="L121" s="18">
        <v>33310</v>
      </c>
      <c r="M121" s="18">
        <v>271</v>
      </c>
      <c r="N121" s="19" t="s">
        <v>59</v>
      </c>
      <c r="O121" s="20"/>
      <c r="P121" s="20"/>
      <c r="Q121" s="20"/>
      <c r="R121" s="20"/>
      <c r="S121" s="22" t="s">
        <v>22</v>
      </c>
      <c r="T121" s="20" t="str">
        <f>IF(AND(C121&gt;='Campaign Metadata'!B$2,Posts!C121&lt;='Campaign Metadata'!C$2),"During","Before/After")</f>
        <v>Before/After</v>
      </c>
      <c r="U121" s="20" t="str">
        <f>IF(AND(C121&gt;='Campaign Metadata'!B$3,Posts!C121&lt;='Campaign Metadata'!C$3),"During","Before/After")</f>
        <v>Before/After</v>
      </c>
      <c r="V121" s="20" t="str">
        <f>IF(AND(C121&gt;='Campaign Metadata'!B$4,Posts!C121&lt;='Campaign Metadata'!C$4),"During","Before/After")</f>
        <v>Before/After</v>
      </c>
      <c r="W121" s="50" t="str">
        <f>IF(AND(C121&gt;='Campaign Metadata'!B$5,Posts!C121&lt;='Campaign Metadata'!C$5),"During","Before/After")</f>
        <v>Before/After</v>
      </c>
    </row>
    <row r="122" spans="1:23" x14ac:dyDescent="0.25">
      <c r="A122" s="49" t="s">
        <v>297</v>
      </c>
      <c r="B122" s="92" t="s">
        <v>13</v>
      </c>
      <c r="C122" s="35" t="s">
        <v>298</v>
      </c>
      <c r="D122" s="17" t="s">
        <v>15</v>
      </c>
      <c r="E122" s="17" t="s">
        <v>16</v>
      </c>
      <c r="F122" s="18">
        <v>3731</v>
      </c>
      <c r="G122" s="18">
        <v>115</v>
      </c>
      <c r="H122" s="18">
        <v>135</v>
      </c>
      <c r="I122" s="18">
        <v>55965</v>
      </c>
      <c r="J122" s="18">
        <f t="shared" si="2"/>
        <v>3846.0024122219243</v>
      </c>
      <c r="K122" s="18">
        <f t="shared" si="3"/>
        <v>3981</v>
      </c>
      <c r="L122" s="18">
        <v>55436</v>
      </c>
      <c r="M122" s="18">
        <v>103</v>
      </c>
      <c r="N122" s="19" t="s">
        <v>27</v>
      </c>
      <c r="O122" s="20"/>
      <c r="P122" s="20"/>
      <c r="Q122" s="20"/>
      <c r="R122" s="20"/>
      <c r="S122" s="21" t="s">
        <v>17</v>
      </c>
      <c r="T122" s="20" t="str">
        <f>IF(AND(C122&gt;='Campaign Metadata'!B$2,Posts!C122&lt;='Campaign Metadata'!C$2),"During","Before/After")</f>
        <v>Before/After</v>
      </c>
      <c r="U122" s="20" t="str">
        <f>IF(AND(C122&gt;='Campaign Metadata'!B$3,Posts!C122&lt;='Campaign Metadata'!C$3),"During","Before/After")</f>
        <v>Before/After</v>
      </c>
      <c r="V122" s="20" t="str">
        <f>IF(AND(C122&gt;='Campaign Metadata'!B$4,Posts!C122&lt;='Campaign Metadata'!C$4),"During","Before/After")</f>
        <v>Before/After</v>
      </c>
      <c r="W122" s="50" t="str">
        <f>IF(AND(C122&gt;='Campaign Metadata'!B$5,Posts!C122&lt;='Campaign Metadata'!C$5),"During","Before/After")</f>
        <v>Before/After</v>
      </c>
    </row>
    <row r="123" spans="1:23" x14ac:dyDescent="0.25">
      <c r="A123" s="49" t="s">
        <v>317</v>
      </c>
      <c r="B123" s="92" t="s">
        <v>30</v>
      </c>
      <c r="C123" s="35" t="s">
        <v>163</v>
      </c>
      <c r="D123" s="17" t="s">
        <v>15</v>
      </c>
      <c r="E123" s="17" t="s">
        <v>79</v>
      </c>
      <c r="F123" s="18">
        <v>3256</v>
      </c>
      <c r="G123" s="18">
        <v>459</v>
      </c>
      <c r="H123" s="18">
        <v>266</v>
      </c>
      <c r="I123" s="18">
        <v>26048</v>
      </c>
      <c r="J123" s="18">
        <f t="shared" si="2"/>
        <v>3715.0102119164621</v>
      </c>
      <c r="K123" s="18">
        <f t="shared" si="3"/>
        <v>3981</v>
      </c>
      <c r="L123" s="18">
        <v>25529</v>
      </c>
      <c r="M123" s="18">
        <v>143</v>
      </c>
      <c r="N123" s="19" t="s">
        <v>27</v>
      </c>
      <c r="O123" s="20"/>
      <c r="P123" s="20"/>
      <c r="Q123" s="20"/>
      <c r="R123" s="20"/>
      <c r="S123" s="22" t="s">
        <v>22</v>
      </c>
      <c r="T123" s="20" t="str">
        <f>IF(AND(C123&gt;='Campaign Metadata'!B$2,Posts!C123&lt;='Campaign Metadata'!C$2),"During","Before/After")</f>
        <v>Before/After</v>
      </c>
      <c r="U123" s="20" t="str">
        <f>IF(AND(C123&gt;='Campaign Metadata'!B$3,Posts!C123&lt;='Campaign Metadata'!C$3),"During","Before/After")</f>
        <v>Before/After</v>
      </c>
      <c r="V123" s="20" t="str">
        <f>IF(AND(C123&gt;='Campaign Metadata'!B$4,Posts!C123&lt;='Campaign Metadata'!C$4),"During","Before/After")</f>
        <v>During</v>
      </c>
      <c r="W123" s="50" t="str">
        <f>IF(AND(C123&gt;='Campaign Metadata'!B$5,Posts!C123&lt;='Campaign Metadata'!C$5),"During","Before/After")</f>
        <v>Before/After</v>
      </c>
    </row>
    <row r="124" spans="1:23" x14ac:dyDescent="0.25">
      <c r="A124" s="49" t="s">
        <v>315</v>
      </c>
      <c r="B124" s="92" t="s">
        <v>24</v>
      </c>
      <c r="C124" s="35" t="s">
        <v>316</v>
      </c>
      <c r="D124" s="17" t="s">
        <v>15</v>
      </c>
      <c r="E124" s="17" t="s">
        <v>26</v>
      </c>
      <c r="F124" s="18">
        <v>3065</v>
      </c>
      <c r="G124" s="18">
        <v>772</v>
      </c>
      <c r="H124" s="18">
        <v>142</v>
      </c>
      <c r="I124" s="18">
        <v>18390</v>
      </c>
      <c r="J124" s="18">
        <f t="shared" si="2"/>
        <v>3837.0077215878196</v>
      </c>
      <c r="K124" s="18">
        <f t="shared" si="3"/>
        <v>3979</v>
      </c>
      <c r="L124" s="18">
        <v>17875</v>
      </c>
      <c r="M124" s="18">
        <v>200</v>
      </c>
      <c r="N124" s="19" t="s">
        <v>34</v>
      </c>
      <c r="O124" s="20" t="s">
        <v>597</v>
      </c>
      <c r="P124" s="20"/>
      <c r="Q124" s="20"/>
      <c r="R124" s="20"/>
      <c r="S124" s="22"/>
      <c r="T124" s="20" t="str">
        <f>IF(AND(C124&gt;='Campaign Metadata'!B$2,Posts!C124&lt;='Campaign Metadata'!C$2),"During","Before/After")</f>
        <v>Before/After</v>
      </c>
      <c r="U124" s="20" t="str">
        <f>IF(AND(C124&gt;='Campaign Metadata'!B$3,Posts!C124&lt;='Campaign Metadata'!C$3),"During","Before/After")</f>
        <v>Before/After</v>
      </c>
      <c r="V124" s="20" t="str">
        <f>IF(AND(C124&gt;='Campaign Metadata'!B$4,Posts!C124&lt;='Campaign Metadata'!C$4),"During","Before/After")</f>
        <v>Before/After</v>
      </c>
      <c r="W124" s="50" t="str">
        <f>IF(AND(C124&gt;='Campaign Metadata'!B$5,Posts!C124&lt;='Campaign Metadata'!C$5),"During","Before/After")</f>
        <v>Before/After</v>
      </c>
    </row>
    <row r="125" spans="1:23" x14ac:dyDescent="0.25">
      <c r="A125" s="49" t="s">
        <v>446</v>
      </c>
      <c r="B125" s="92" t="s">
        <v>40</v>
      </c>
      <c r="C125" s="35" t="s">
        <v>308</v>
      </c>
      <c r="D125" s="17" t="s">
        <v>15</v>
      </c>
      <c r="E125" s="17" t="s">
        <v>62</v>
      </c>
      <c r="F125" s="18">
        <v>3663</v>
      </c>
      <c r="G125" s="18">
        <v>17</v>
      </c>
      <c r="H125" s="18">
        <v>295</v>
      </c>
      <c r="I125" s="18">
        <v>51282</v>
      </c>
      <c r="J125" s="18">
        <f t="shared" si="2"/>
        <v>3680.0057525057523</v>
      </c>
      <c r="K125" s="18">
        <f t="shared" si="3"/>
        <v>3975</v>
      </c>
      <c r="L125" s="18">
        <v>50567</v>
      </c>
      <c r="M125" s="18">
        <v>84</v>
      </c>
      <c r="N125" s="19" t="s">
        <v>34</v>
      </c>
      <c r="O125" s="20"/>
      <c r="P125" s="20"/>
      <c r="Q125" s="20"/>
      <c r="R125" s="20"/>
      <c r="S125" s="22" t="s">
        <v>28</v>
      </c>
      <c r="T125" s="20" t="str">
        <f>IF(AND(C125&gt;='Campaign Metadata'!B$2,Posts!C125&lt;='Campaign Metadata'!C$2),"During","Before/After")</f>
        <v>During</v>
      </c>
      <c r="U125" s="20" t="str">
        <f>IF(AND(C125&gt;='Campaign Metadata'!B$3,Posts!C125&lt;='Campaign Metadata'!C$3),"During","Before/After")</f>
        <v>Before/After</v>
      </c>
      <c r="V125" s="20" t="str">
        <f>IF(AND(C125&gt;='Campaign Metadata'!B$4,Posts!C125&lt;='Campaign Metadata'!C$4),"During","Before/After")</f>
        <v>Before/After</v>
      </c>
      <c r="W125" s="50" t="str">
        <f>IF(AND(C125&gt;='Campaign Metadata'!B$5,Posts!C125&lt;='Campaign Metadata'!C$5),"During","Before/After")</f>
        <v>Before/After</v>
      </c>
    </row>
    <row r="126" spans="1:23" x14ac:dyDescent="0.25">
      <c r="A126" s="49" t="s">
        <v>367</v>
      </c>
      <c r="B126" s="92" t="s">
        <v>30</v>
      </c>
      <c r="C126" s="35" t="s">
        <v>368</v>
      </c>
      <c r="D126" s="17" t="s">
        <v>42</v>
      </c>
      <c r="E126" s="17" t="s">
        <v>85</v>
      </c>
      <c r="F126" s="18">
        <v>3099</v>
      </c>
      <c r="G126" s="18">
        <v>694</v>
      </c>
      <c r="H126" s="18">
        <v>171</v>
      </c>
      <c r="I126" s="18">
        <v>43386</v>
      </c>
      <c r="J126" s="18">
        <f t="shared" si="2"/>
        <v>3793.0039413635736</v>
      </c>
      <c r="K126" s="18">
        <f t="shared" si="3"/>
        <v>3964</v>
      </c>
      <c r="L126" s="18">
        <v>42921</v>
      </c>
      <c r="M126" s="18">
        <v>52</v>
      </c>
      <c r="N126" s="19" t="s">
        <v>27</v>
      </c>
      <c r="O126" s="20"/>
      <c r="P126" s="20"/>
      <c r="Q126" s="20"/>
      <c r="R126" s="20"/>
      <c r="S126" s="22" t="s">
        <v>28</v>
      </c>
      <c r="T126" s="20" t="str">
        <f>IF(AND(C126&gt;='Campaign Metadata'!B$2,Posts!C126&lt;='Campaign Metadata'!C$2),"During","Before/After")</f>
        <v>During</v>
      </c>
      <c r="U126" s="20" t="str">
        <f>IF(AND(C126&gt;='Campaign Metadata'!B$3,Posts!C126&lt;='Campaign Metadata'!C$3),"During","Before/After")</f>
        <v>Before/After</v>
      </c>
      <c r="V126" s="20" t="str">
        <f>IF(AND(C126&gt;='Campaign Metadata'!B$4,Posts!C126&lt;='Campaign Metadata'!C$4),"During","Before/After")</f>
        <v>Before/After</v>
      </c>
      <c r="W126" s="50" t="str">
        <f>IF(AND(C126&gt;='Campaign Metadata'!B$5,Posts!C126&lt;='Campaign Metadata'!C$5),"During","Before/After")</f>
        <v>Before/After</v>
      </c>
    </row>
    <row r="127" spans="1:23" x14ac:dyDescent="0.25">
      <c r="A127" s="49" t="s">
        <v>529</v>
      </c>
      <c r="B127" s="92" t="s">
        <v>24</v>
      </c>
      <c r="C127" s="35" t="s">
        <v>530</v>
      </c>
      <c r="D127" s="17" t="s">
        <v>71</v>
      </c>
      <c r="E127" s="17" t="s">
        <v>212</v>
      </c>
      <c r="F127" s="18">
        <v>3389</v>
      </c>
      <c r="G127" s="18">
        <v>344</v>
      </c>
      <c r="H127" s="18">
        <v>229</v>
      </c>
      <c r="I127" s="18">
        <v>20334</v>
      </c>
      <c r="J127" s="18">
        <f t="shared" si="2"/>
        <v>3733.0112619258384</v>
      </c>
      <c r="K127" s="18">
        <f t="shared" si="3"/>
        <v>3962</v>
      </c>
      <c r="L127" s="18">
        <v>19443</v>
      </c>
      <c r="M127" s="18">
        <v>228</v>
      </c>
      <c r="N127" s="19" t="s">
        <v>59</v>
      </c>
      <c r="O127" s="20"/>
      <c r="P127" s="20"/>
      <c r="Q127" s="20"/>
      <c r="R127" s="20"/>
      <c r="S127" s="22" t="s">
        <v>28</v>
      </c>
      <c r="T127" s="20" t="str">
        <f>IF(AND(C127&gt;='Campaign Metadata'!B$2,Posts!C127&lt;='Campaign Metadata'!C$2),"During","Before/After")</f>
        <v>Before/After</v>
      </c>
      <c r="U127" s="20" t="str">
        <f>IF(AND(C127&gt;='Campaign Metadata'!B$3,Posts!C127&lt;='Campaign Metadata'!C$3),"During","Before/After")</f>
        <v>Before/After</v>
      </c>
      <c r="V127" s="20" t="str">
        <f>IF(AND(C127&gt;='Campaign Metadata'!B$4,Posts!C127&lt;='Campaign Metadata'!C$4),"During","Before/After")</f>
        <v>Before/After</v>
      </c>
      <c r="W127" s="50" t="str">
        <f>IF(AND(C127&gt;='Campaign Metadata'!B$5,Posts!C127&lt;='Campaign Metadata'!C$5),"During","Before/After")</f>
        <v>Before/After</v>
      </c>
    </row>
    <row r="128" spans="1:23" x14ac:dyDescent="0.25">
      <c r="A128" s="49" t="s">
        <v>485</v>
      </c>
      <c r="B128" s="92" t="s">
        <v>40</v>
      </c>
      <c r="C128" s="35" t="s">
        <v>284</v>
      </c>
      <c r="D128" s="17" t="s">
        <v>49</v>
      </c>
      <c r="E128" s="17" t="s">
        <v>56</v>
      </c>
      <c r="F128" s="18">
        <v>3090</v>
      </c>
      <c r="G128" s="18">
        <v>697</v>
      </c>
      <c r="H128" s="18">
        <v>164</v>
      </c>
      <c r="I128" s="18">
        <v>49440</v>
      </c>
      <c r="J128" s="18">
        <f t="shared" si="2"/>
        <v>3787.0033171521036</v>
      </c>
      <c r="K128" s="18">
        <f t="shared" si="3"/>
        <v>3951</v>
      </c>
      <c r="L128" s="18">
        <v>48524</v>
      </c>
      <c r="M128" s="18">
        <v>25</v>
      </c>
      <c r="N128" s="19" t="s">
        <v>34</v>
      </c>
      <c r="O128" s="20" t="s">
        <v>34</v>
      </c>
      <c r="P128" s="20" t="s">
        <v>598</v>
      </c>
      <c r="Q128" s="20"/>
      <c r="R128" s="20"/>
      <c r="S128" s="22" t="s">
        <v>22</v>
      </c>
      <c r="T128" s="20" t="str">
        <f>IF(AND(C128&gt;='Campaign Metadata'!B$2,Posts!C128&lt;='Campaign Metadata'!C$2),"During","Before/After")</f>
        <v>Before/After</v>
      </c>
      <c r="U128" s="20" t="str">
        <f>IF(AND(C128&gt;='Campaign Metadata'!B$3,Posts!C128&lt;='Campaign Metadata'!C$3),"During","Before/After")</f>
        <v>Before/After</v>
      </c>
      <c r="V128" s="20" t="str">
        <f>IF(AND(C128&gt;='Campaign Metadata'!B$4,Posts!C128&lt;='Campaign Metadata'!C$4),"During","Before/After")</f>
        <v>Before/After</v>
      </c>
      <c r="W128" s="50" t="str">
        <f>IF(AND(C128&gt;='Campaign Metadata'!B$5,Posts!C128&lt;='Campaign Metadata'!C$5),"During","Before/After")</f>
        <v>Before/After</v>
      </c>
    </row>
    <row r="129" spans="1:23" x14ac:dyDescent="0.25">
      <c r="A129" s="49" t="s">
        <v>510</v>
      </c>
      <c r="B129" s="92" t="s">
        <v>24</v>
      </c>
      <c r="C129" s="35" t="s">
        <v>511</v>
      </c>
      <c r="D129" s="17" t="s">
        <v>32</v>
      </c>
      <c r="E129" s="17" t="s">
        <v>150</v>
      </c>
      <c r="F129" s="18">
        <v>3641</v>
      </c>
      <c r="G129" s="18">
        <v>226</v>
      </c>
      <c r="H129" s="18">
        <v>46</v>
      </c>
      <c r="I129" s="18">
        <v>40051</v>
      </c>
      <c r="J129" s="18">
        <f t="shared" si="2"/>
        <v>3867.0011485356172</v>
      </c>
      <c r="K129" s="18">
        <f t="shared" si="3"/>
        <v>3913</v>
      </c>
      <c r="L129" s="18">
        <v>39319</v>
      </c>
      <c r="M129" s="18">
        <v>296</v>
      </c>
      <c r="N129" s="19" t="s">
        <v>34</v>
      </c>
      <c r="O129" s="20"/>
      <c r="P129" s="20"/>
      <c r="Q129" s="20"/>
      <c r="R129" s="20"/>
      <c r="S129" s="22" t="s">
        <v>35</v>
      </c>
      <c r="T129" s="20" t="str">
        <f>IF(AND(C129&gt;='Campaign Metadata'!B$2,Posts!C129&lt;='Campaign Metadata'!C$2),"During","Before/After")</f>
        <v>Before/After</v>
      </c>
      <c r="U129" s="20" t="str">
        <f>IF(AND(C129&gt;='Campaign Metadata'!B$3,Posts!C129&lt;='Campaign Metadata'!C$3),"During","Before/After")</f>
        <v>Before/After</v>
      </c>
      <c r="V129" s="20" t="str">
        <f>IF(AND(C129&gt;='Campaign Metadata'!B$4,Posts!C129&lt;='Campaign Metadata'!C$4),"During","Before/After")</f>
        <v>During</v>
      </c>
      <c r="W129" s="50" t="str">
        <f>IF(AND(C129&gt;='Campaign Metadata'!B$5,Posts!C129&lt;='Campaign Metadata'!C$5),"During","Before/After")</f>
        <v>Before/After</v>
      </c>
    </row>
    <row r="130" spans="1:23" x14ac:dyDescent="0.25">
      <c r="A130" s="49" t="s">
        <v>323</v>
      </c>
      <c r="B130" s="92" t="s">
        <v>30</v>
      </c>
      <c r="C130" s="35" t="s">
        <v>180</v>
      </c>
      <c r="D130" s="17" t="s">
        <v>49</v>
      </c>
      <c r="E130" s="17" t="s">
        <v>209</v>
      </c>
      <c r="F130" s="18">
        <v>3559</v>
      </c>
      <c r="G130" s="18">
        <v>59</v>
      </c>
      <c r="H130" s="18">
        <v>289</v>
      </c>
      <c r="I130" s="18">
        <v>35590</v>
      </c>
      <c r="J130" s="18">
        <f t="shared" ref="J130:J193" si="4">F130+G130+H130/I130</f>
        <v>3618.0081202584997</v>
      </c>
      <c r="K130" s="18">
        <f t="shared" ref="K130:K193" si="5">F130+G130+H130</f>
        <v>3907</v>
      </c>
      <c r="L130" s="18">
        <v>35105</v>
      </c>
      <c r="M130" s="18">
        <v>122</v>
      </c>
      <c r="N130" s="19" t="s">
        <v>34</v>
      </c>
      <c r="O130" s="20"/>
      <c r="P130" s="20"/>
      <c r="Q130" s="20"/>
      <c r="R130" s="20"/>
      <c r="S130" s="21" t="s">
        <v>17</v>
      </c>
      <c r="T130" s="20" t="str">
        <f>IF(AND(C130&gt;='Campaign Metadata'!B$2,Posts!C130&lt;='Campaign Metadata'!C$2),"During","Before/After")</f>
        <v>Before/After</v>
      </c>
      <c r="U130" s="20" t="str">
        <f>IF(AND(C130&gt;='Campaign Metadata'!B$3,Posts!C130&lt;='Campaign Metadata'!C$3),"During","Before/After")</f>
        <v>Before/After</v>
      </c>
      <c r="V130" s="20" t="str">
        <f>IF(AND(C130&gt;='Campaign Metadata'!B$4,Posts!C130&lt;='Campaign Metadata'!C$4),"During","Before/After")</f>
        <v>Before/After</v>
      </c>
      <c r="W130" s="50" t="str">
        <f>IF(AND(C130&gt;='Campaign Metadata'!B$5,Posts!C130&lt;='Campaign Metadata'!C$5),"During","Before/After")</f>
        <v>Before/After</v>
      </c>
    </row>
    <row r="131" spans="1:23" x14ac:dyDescent="0.25">
      <c r="A131" s="49" t="s">
        <v>232</v>
      </c>
      <c r="B131" s="92" t="s">
        <v>30</v>
      </c>
      <c r="C131" s="35" t="s">
        <v>233</v>
      </c>
      <c r="D131" s="17" t="s">
        <v>20</v>
      </c>
      <c r="E131" s="17" t="s">
        <v>109</v>
      </c>
      <c r="F131" s="18">
        <v>3182</v>
      </c>
      <c r="G131" s="18">
        <v>559</v>
      </c>
      <c r="H131" s="18">
        <v>160</v>
      </c>
      <c r="I131" s="18">
        <v>57276</v>
      </c>
      <c r="J131" s="18">
        <f t="shared" si="4"/>
        <v>3741.0027934911654</v>
      </c>
      <c r="K131" s="18">
        <f t="shared" si="5"/>
        <v>3901</v>
      </c>
      <c r="L131" s="18">
        <v>56890</v>
      </c>
      <c r="M131" s="18">
        <v>163</v>
      </c>
      <c r="N131" s="19" t="s">
        <v>59</v>
      </c>
      <c r="O131" s="20"/>
      <c r="P131" s="20"/>
      <c r="Q131" s="20"/>
      <c r="R131" s="20"/>
      <c r="S131" s="22" t="s">
        <v>35</v>
      </c>
      <c r="T131" s="20" t="str">
        <f>IF(AND(C131&gt;='Campaign Metadata'!B$2,Posts!C131&lt;='Campaign Metadata'!C$2),"During","Before/After")</f>
        <v>Before/After</v>
      </c>
      <c r="U131" s="20" t="str">
        <f>IF(AND(C131&gt;='Campaign Metadata'!B$3,Posts!C131&lt;='Campaign Metadata'!C$3),"During","Before/After")</f>
        <v>Before/After</v>
      </c>
      <c r="V131" s="20" t="str">
        <f>IF(AND(C131&gt;='Campaign Metadata'!B$4,Posts!C131&lt;='Campaign Metadata'!C$4),"During","Before/After")</f>
        <v>Before/After</v>
      </c>
      <c r="W131" s="50" t="str">
        <f>IF(AND(C131&gt;='Campaign Metadata'!B$5,Posts!C131&lt;='Campaign Metadata'!C$5),"During","Before/After")</f>
        <v>Before/After</v>
      </c>
    </row>
    <row r="132" spans="1:23" x14ac:dyDescent="0.25">
      <c r="A132" s="49" t="s">
        <v>415</v>
      </c>
      <c r="B132" s="92" t="s">
        <v>24</v>
      </c>
      <c r="C132" s="35" t="s">
        <v>45</v>
      </c>
      <c r="D132" s="17" t="s">
        <v>71</v>
      </c>
      <c r="E132" s="17" t="s">
        <v>212</v>
      </c>
      <c r="F132" s="18">
        <v>2949</v>
      </c>
      <c r="G132" s="18">
        <v>476</v>
      </c>
      <c r="H132" s="18">
        <v>403</v>
      </c>
      <c r="I132" s="18">
        <v>44235</v>
      </c>
      <c r="J132" s="18">
        <f t="shared" si="4"/>
        <v>3425.0091104329149</v>
      </c>
      <c r="K132" s="18">
        <f t="shared" si="5"/>
        <v>3828</v>
      </c>
      <c r="L132" s="18">
        <v>43705</v>
      </c>
      <c r="M132" s="18">
        <v>135</v>
      </c>
      <c r="N132" s="19" t="s">
        <v>27</v>
      </c>
      <c r="O132" s="20"/>
      <c r="P132" s="20"/>
      <c r="Q132" s="20"/>
      <c r="R132" s="20"/>
      <c r="S132" s="22" t="s">
        <v>22</v>
      </c>
      <c r="T132" s="20" t="str">
        <f>IF(AND(C132&gt;='Campaign Metadata'!B$2,Posts!C132&lt;='Campaign Metadata'!C$2),"During","Before/After")</f>
        <v>During</v>
      </c>
      <c r="U132" s="20" t="str">
        <f>IF(AND(C132&gt;='Campaign Metadata'!B$3,Posts!C132&lt;='Campaign Metadata'!C$3),"During","Before/After")</f>
        <v>Before/After</v>
      </c>
      <c r="V132" s="20" t="str">
        <f>IF(AND(C132&gt;='Campaign Metadata'!B$4,Posts!C132&lt;='Campaign Metadata'!C$4),"During","Before/After")</f>
        <v>Before/After</v>
      </c>
      <c r="W132" s="50" t="str">
        <f>IF(AND(C132&gt;='Campaign Metadata'!B$5,Posts!C132&lt;='Campaign Metadata'!C$5),"During","Before/After")</f>
        <v>Before/After</v>
      </c>
    </row>
    <row r="133" spans="1:23" x14ac:dyDescent="0.25">
      <c r="A133" s="49" t="s">
        <v>216</v>
      </c>
      <c r="B133" s="92" t="s">
        <v>24</v>
      </c>
      <c r="C133" s="35" t="s">
        <v>217</v>
      </c>
      <c r="D133" s="17" t="s">
        <v>20</v>
      </c>
      <c r="E133" s="17" t="s">
        <v>100</v>
      </c>
      <c r="F133" s="18">
        <v>3428</v>
      </c>
      <c r="G133" s="18">
        <v>305</v>
      </c>
      <c r="H133" s="18">
        <v>85</v>
      </c>
      <c r="I133" s="18">
        <v>58276</v>
      </c>
      <c r="J133" s="18">
        <f t="shared" si="4"/>
        <v>3733.0014585764293</v>
      </c>
      <c r="K133" s="18">
        <f t="shared" si="5"/>
        <v>3818</v>
      </c>
      <c r="L133" s="18">
        <v>58052</v>
      </c>
      <c r="M133" s="18">
        <v>242</v>
      </c>
      <c r="N133" s="19" t="s">
        <v>34</v>
      </c>
      <c r="O133" s="20" t="s">
        <v>598</v>
      </c>
      <c r="P133" s="20"/>
      <c r="Q133" s="20"/>
      <c r="R133" s="20"/>
      <c r="S133" s="22" t="s">
        <v>35</v>
      </c>
      <c r="T133" s="20" t="str">
        <f>IF(AND(C133&gt;='Campaign Metadata'!B$2,Posts!C133&lt;='Campaign Metadata'!C$2),"During","Before/After")</f>
        <v>Before/After</v>
      </c>
      <c r="U133" s="20" t="str">
        <f>IF(AND(C133&gt;='Campaign Metadata'!B$3,Posts!C133&lt;='Campaign Metadata'!C$3),"During","Before/After")</f>
        <v>Before/After</v>
      </c>
      <c r="V133" s="20" t="str">
        <f>IF(AND(C133&gt;='Campaign Metadata'!B$4,Posts!C133&lt;='Campaign Metadata'!C$4),"During","Before/After")</f>
        <v>Before/After</v>
      </c>
      <c r="W133" s="50" t="str">
        <f>IF(AND(C133&gt;='Campaign Metadata'!B$5,Posts!C133&lt;='Campaign Metadata'!C$5),"During","Before/After")</f>
        <v>Before/After</v>
      </c>
    </row>
    <row r="134" spans="1:23" x14ac:dyDescent="0.25">
      <c r="A134" s="49" t="s">
        <v>160</v>
      </c>
      <c r="B134" s="92" t="s">
        <v>40</v>
      </c>
      <c r="C134" s="35" t="s">
        <v>161</v>
      </c>
      <c r="D134" s="17" t="s">
        <v>42</v>
      </c>
      <c r="E134" s="17" t="s">
        <v>43</v>
      </c>
      <c r="F134" s="18">
        <v>2946</v>
      </c>
      <c r="G134" s="18">
        <v>498</v>
      </c>
      <c r="H134" s="18">
        <v>367</v>
      </c>
      <c r="I134" s="18">
        <v>29460</v>
      </c>
      <c r="J134" s="18">
        <f t="shared" si="4"/>
        <v>3444.0124575695859</v>
      </c>
      <c r="K134" s="18">
        <f t="shared" si="5"/>
        <v>3811</v>
      </c>
      <c r="L134" s="18">
        <v>28527</v>
      </c>
      <c r="M134" s="18">
        <v>60</v>
      </c>
      <c r="N134" s="19" t="s">
        <v>59</v>
      </c>
      <c r="O134" s="20"/>
      <c r="P134" s="20"/>
      <c r="Q134" s="20"/>
      <c r="R134" s="20"/>
      <c r="S134" s="22" t="s">
        <v>28</v>
      </c>
      <c r="T134" s="20" t="str">
        <f>IF(AND(C134&gt;='Campaign Metadata'!B$2,Posts!C134&lt;='Campaign Metadata'!C$2),"During","Before/After")</f>
        <v>Before/After</v>
      </c>
      <c r="U134" s="20" t="str">
        <f>IF(AND(C134&gt;='Campaign Metadata'!B$3,Posts!C134&lt;='Campaign Metadata'!C$3),"During","Before/After")</f>
        <v>Before/After</v>
      </c>
      <c r="V134" s="20" t="str">
        <f>IF(AND(C134&gt;='Campaign Metadata'!B$4,Posts!C134&lt;='Campaign Metadata'!C$4),"During","Before/After")</f>
        <v>Before/After</v>
      </c>
      <c r="W134" s="50" t="str">
        <f>IF(AND(C134&gt;='Campaign Metadata'!B$5,Posts!C134&lt;='Campaign Metadata'!C$5),"During","Before/After")</f>
        <v>Before/After</v>
      </c>
    </row>
    <row r="135" spans="1:23" x14ac:dyDescent="0.25">
      <c r="A135" s="49" t="s">
        <v>137</v>
      </c>
      <c r="B135" s="92" t="s">
        <v>40</v>
      </c>
      <c r="C135" s="35" t="s">
        <v>138</v>
      </c>
      <c r="D135" s="17" t="s">
        <v>71</v>
      </c>
      <c r="E135" s="17" t="s">
        <v>72</v>
      </c>
      <c r="F135" s="18">
        <v>3371</v>
      </c>
      <c r="G135" s="18">
        <v>106</v>
      </c>
      <c r="H135" s="18">
        <v>327</v>
      </c>
      <c r="I135" s="18">
        <v>50565</v>
      </c>
      <c r="J135" s="18">
        <f t="shared" si="4"/>
        <v>3477.0064669237613</v>
      </c>
      <c r="K135" s="18">
        <f t="shared" si="5"/>
        <v>3804</v>
      </c>
      <c r="L135" s="18">
        <v>49816</v>
      </c>
      <c r="M135" s="18">
        <v>176</v>
      </c>
      <c r="N135" s="19" t="s">
        <v>59</v>
      </c>
      <c r="O135" s="20"/>
      <c r="P135" s="20"/>
      <c r="Q135" s="20"/>
      <c r="R135" s="20"/>
      <c r="S135" s="21" t="s">
        <v>17</v>
      </c>
      <c r="T135" s="20" t="str">
        <f>IF(AND(C135&gt;='Campaign Metadata'!B$2,Posts!C135&lt;='Campaign Metadata'!C$2),"During","Before/After")</f>
        <v>Before/After</v>
      </c>
      <c r="U135" s="20" t="str">
        <f>IF(AND(C135&gt;='Campaign Metadata'!B$3,Posts!C135&lt;='Campaign Metadata'!C$3),"During","Before/After")</f>
        <v>Before/After</v>
      </c>
      <c r="V135" s="20" t="str">
        <f>IF(AND(C135&gt;='Campaign Metadata'!B$4,Posts!C135&lt;='Campaign Metadata'!C$4),"During","Before/After")</f>
        <v>Before/After</v>
      </c>
      <c r="W135" s="50" t="str">
        <f>IF(AND(C135&gt;='Campaign Metadata'!B$5,Posts!C135&lt;='Campaign Metadata'!C$5),"During","Before/After")</f>
        <v>Before/After</v>
      </c>
    </row>
    <row r="136" spans="1:23" x14ac:dyDescent="0.25">
      <c r="A136" s="49" t="s">
        <v>358</v>
      </c>
      <c r="B136" s="92" t="s">
        <v>40</v>
      </c>
      <c r="C136" s="35" t="s">
        <v>359</v>
      </c>
      <c r="D136" s="17" t="s">
        <v>42</v>
      </c>
      <c r="E136" s="17" t="s">
        <v>43</v>
      </c>
      <c r="F136" s="18">
        <v>3073</v>
      </c>
      <c r="G136" s="18">
        <v>553</v>
      </c>
      <c r="H136" s="18">
        <v>174</v>
      </c>
      <c r="I136" s="18">
        <v>52241</v>
      </c>
      <c r="J136" s="18">
        <f t="shared" si="4"/>
        <v>3626.0033307172525</v>
      </c>
      <c r="K136" s="18">
        <f t="shared" si="5"/>
        <v>3800</v>
      </c>
      <c r="L136" s="18">
        <v>51605</v>
      </c>
      <c r="M136" s="18">
        <v>246</v>
      </c>
      <c r="N136" s="19" t="s">
        <v>34</v>
      </c>
      <c r="O136" s="20"/>
      <c r="P136" s="20"/>
      <c r="Q136" s="20"/>
      <c r="R136" s="20"/>
      <c r="S136" s="22" t="s">
        <v>28</v>
      </c>
      <c r="T136" s="20" t="str">
        <f>IF(AND(C136&gt;='Campaign Metadata'!B$2,Posts!C136&lt;='Campaign Metadata'!C$2),"During","Before/After")</f>
        <v>Before/After</v>
      </c>
      <c r="U136" s="20" t="str">
        <f>IF(AND(C136&gt;='Campaign Metadata'!B$3,Posts!C136&lt;='Campaign Metadata'!C$3),"During","Before/After")</f>
        <v>Before/After</v>
      </c>
      <c r="V136" s="20" t="str">
        <f>IF(AND(C136&gt;='Campaign Metadata'!B$4,Posts!C136&lt;='Campaign Metadata'!C$4),"During","Before/After")</f>
        <v>Before/After</v>
      </c>
      <c r="W136" s="50" t="str">
        <f>IF(AND(C136&gt;='Campaign Metadata'!B$5,Posts!C136&lt;='Campaign Metadata'!C$5),"During","Before/After")</f>
        <v>Before/After</v>
      </c>
    </row>
    <row r="137" spans="1:23" x14ac:dyDescent="0.25">
      <c r="A137" s="49" t="s">
        <v>96</v>
      </c>
      <c r="B137" s="92" t="s">
        <v>24</v>
      </c>
      <c r="C137" s="35" t="s">
        <v>97</v>
      </c>
      <c r="D137" s="17" t="s">
        <v>15</v>
      </c>
      <c r="E137" s="17" t="s">
        <v>26</v>
      </c>
      <c r="F137" s="18">
        <v>3009</v>
      </c>
      <c r="G137" s="18">
        <v>413</v>
      </c>
      <c r="H137" s="18">
        <v>358</v>
      </c>
      <c r="I137" s="18">
        <v>42126</v>
      </c>
      <c r="J137" s="18">
        <f t="shared" si="4"/>
        <v>3422.0084983145803</v>
      </c>
      <c r="K137" s="18">
        <f t="shared" si="5"/>
        <v>3780</v>
      </c>
      <c r="L137" s="18">
        <v>41309</v>
      </c>
      <c r="M137" s="18">
        <v>211</v>
      </c>
      <c r="N137" s="19" t="s">
        <v>59</v>
      </c>
      <c r="O137" s="20"/>
      <c r="P137" s="20"/>
      <c r="Q137" s="20"/>
      <c r="R137" s="20"/>
      <c r="S137" s="22" t="s">
        <v>22</v>
      </c>
      <c r="T137" s="20" t="str">
        <f>IF(AND(C137&gt;='Campaign Metadata'!B$2,Posts!C137&lt;='Campaign Metadata'!C$2),"During","Before/After")</f>
        <v>Before/After</v>
      </c>
      <c r="U137" s="20" t="str">
        <f>IF(AND(C137&gt;='Campaign Metadata'!B$3,Posts!C137&lt;='Campaign Metadata'!C$3),"During","Before/After")</f>
        <v>Before/After</v>
      </c>
      <c r="V137" s="20" t="str">
        <f>IF(AND(C137&gt;='Campaign Metadata'!B$4,Posts!C137&lt;='Campaign Metadata'!C$4),"During","Before/After")</f>
        <v>Before/After</v>
      </c>
      <c r="W137" s="50" t="str">
        <f>IF(AND(C137&gt;='Campaign Metadata'!B$5,Posts!C137&lt;='Campaign Metadata'!C$5),"During","Before/After")</f>
        <v>Before/After</v>
      </c>
    </row>
    <row r="138" spans="1:23" x14ac:dyDescent="0.25">
      <c r="A138" s="49" t="s">
        <v>422</v>
      </c>
      <c r="B138" s="92" t="s">
        <v>40</v>
      </c>
      <c r="C138" s="35" t="s">
        <v>423</v>
      </c>
      <c r="D138" s="17" t="s">
        <v>42</v>
      </c>
      <c r="E138" s="17" t="s">
        <v>43</v>
      </c>
      <c r="F138" s="18">
        <v>2696</v>
      </c>
      <c r="G138" s="18">
        <v>628</v>
      </c>
      <c r="H138" s="18">
        <v>443</v>
      </c>
      <c r="I138" s="18">
        <v>45832</v>
      </c>
      <c r="J138" s="18">
        <f t="shared" si="4"/>
        <v>3324.0096657357303</v>
      </c>
      <c r="K138" s="18">
        <f t="shared" si="5"/>
        <v>3767</v>
      </c>
      <c r="L138" s="18">
        <v>45632</v>
      </c>
      <c r="M138" s="18">
        <v>248</v>
      </c>
      <c r="N138" s="19" t="s">
        <v>34</v>
      </c>
      <c r="O138" s="20"/>
      <c r="P138" s="20"/>
      <c r="Q138" s="20"/>
      <c r="R138" s="20"/>
      <c r="S138" s="22" t="s">
        <v>35</v>
      </c>
      <c r="T138" s="20" t="str">
        <f>IF(AND(C138&gt;='Campaign Metadata'!B$2,Posts!C138&lt;='Campaign Metadata'!C$2),"During","Before/After")</f>
        <v>Before/After</v>
      </c>
      <c r="U138" s="20" t="str">
        <f>IF(AND(C138&gt;='Campaign Metadata'!B$3,Posts!C138&lt;='Campaign Metadata'!C$3),"During","Before/After")</f>
        <v>Before/After</v>
      </c>
      <c r="V138" s="20" t="str">
        <f>IF(AND(C138&gt;='Campaign Metadata'!B$4,Posts!C138&lt;='Campaign Metadata'!C$4),"During","Before/After")</f>
        <v>Before/After</v>
      </c>
      <c r="W138" s="50" t="str">
        <f>IF(AND(C138&gt;='Campaign Metadata'!B$5,Posts!C138&lt;='Campaign Metadata'!C$5),"During","Before/After")</f>
        <v>Before/After</v>
      </c>
    </row>
    <row r="139" spans="1:23" x14ac:dyDescent="0.25">
      <c r="A139" s="49" t="s">
        <v>435</v>
      </c>
      <c r="B139" s="92" t="s">
        <v>13</v>
      </c>
      <c r="C139" s="35" t="s">
        <v>351</v>
      </c>
      <c r="D139" s="17" t="s">
        <v>49</v>
      </c>
      <c r="E139" s="17" t="s">
        <v>128</v>
      </c>
      <c r="F139" s="18">
        <v>3338</v>
      </c>
      <c r="G139" s="18">
        <v>277</v>
      </c>
      <c r="H139" s="18">
        <v>118</v>
      </c>
      <c r="I139" s="18">
        <v>60084</v>
      </c>
      <c r="J139" s="18">
        <f t="shared" si="4"/>
        <v>3615.0019639171828</v>
      </c>
      <c r="K139" s="18">
        <f t="shared" si="5"/>
        <v>3733</v>
      </c>
      <c r="L139" s="18">
        <v>59842</v>
      </c>
      <c r="M139" s="18">
        <v>252</v>
      </c>
      <c r="N139" s="19" t="s">
        <v>27</v>
      </c>
      <c r="O139" s="20"/>
      <c r="P139" s="20"/>
      <c r="Q139" s="20"/>
      <c r="R139" s="20"/>
      <c r="S139" s="22"/>
      <c r="T139" s="20" t="str">
        <f>IF(AND(C139&gt;='Campaign Metadata'!B$2,Posts!C139&lt;='Campaign Metadata'!C$2),"During","Before/After")</f>
        <v>Before/After</v>
      </c>
      <c r="U139" s="20" t="str">
        <f>IF(AND(C139&gt;='Campaign Metadata'!B$3,Posts!C139&lt;='Campaign Metadata'!C$3),"During","Before/After")</f>
        <v>Before/After</v>
      </c>
      <c r="V139" s="20" t="str">
        <f>IF(AND(C139&gt;='Campaign Metadata'!B$4,Posts!C139&lt;='Campaign Metadata'!C$4),"During","Before/After")</f>
        <v>Before/After</v>
      </c>
      <c r="W139" s="50" t="str">
        <f>IF(AND(C139&gt;='Campaign Metadata'!B$5,Posts!C139&lt;='Campaign Metadata'!C$5),"During","Before/After")</f>
        <v>Before/After</v>
      </c>
    </row>
    <row r="140" spans="1:23" x14ac:dyDescent="0.25">
      <c r="A140" s="49" t="s">
        <v>525</v>
      </c>
      <c r="B140" s="92" t="s">
        <v>13</v>
      </c>
      <c r="C140" s="35" t="s">
        <v>526</v>
      </c>
      <c r="D140" s="17" t="s">
        <v>15</v>
      </c>
      <c r="E140" s="17" t="s">
        <v>16</v>
      </c>
      <c r="F140" s="18">
        <v>3367</v>
      </c>
      <c r="G140" s="18">
        <v>302</v>
      </c>
      <c r="H140" s="18">
        <v>57</v>
      </c>
      <c r="I140" s="18">
        <v>63973</v>
      </c>
      <c r="J140" s="18">
        <f t="shared" si="4"/>
        <v>3669.000891000891</v>
      </c>
      <c r="K140" s="18">
        <f t="shared" si="5"/>
        <v>3726</v>
      </c>
      <c r="L140" s="18">
        <v>63789</v>
      </c>
      <c r="M140" s="18">
        <v>157</v>
      </c>
      <c r="N140" s="19" t="s">
        <v>59</v>
      </c>
      <c r="O140" s="20"/>
      <c r="P140" s="20"/>
      <c r="Q140" s="20"/>
      <c r="R140" s="20"/>
      <c r="S140" s="22" t="s">
        <v>22</v>
      </c>
      <c r="T140" s="20" t="str">
        <f>IF(AND(C140&gt;='Campaign Metadata'!B$2,Posts!C140&lt;='Campaign Metadata'!C$2),"During","Before/After")</f>
        <v>Before/After</v>
      </c>
      <c r="U140" s="20" t="str">
        <f>IF(AND(C140&gt;='Campaign Metadata'!B$3,Posts!C140&lt;='Campaign Metadata'!C$3),"During","Before/After")</f>
        <v>Before/After</v>
      </c>
      <c r="V140" s="20" t="str">
        <f>IF(AND(C140&gt;='Campaign Metadata'!B$4,Posts!C140&lt;='Campaign Metadata'!C$4),"During","Before/After")</f>
        <v>Before/After</v>
      </c>
      <c r="W140" s="50" t="str">
        <f>IF(AND(C140&gt;='Campaign Metadata'!B$5,Posts!C140&lt;='Campaign Metadata'!C$5),"During","Before/After")</f>
        <v>Before/After</v>
      </c>
    </row>
    <row r="141" spans="1:23" x14ac:dyDescent="0.25">
      <c r="A141" s="49" t="s">
        <v>77</v>
      </c>
      <c r="B141" s="92" t="s">
        <v>30</v>
      </c>
      <c r="C141" s="35" t="s">
        <v>78</v>
      </c>
      <c r="D141" s="17" t="s">
        <v>15</v>
      </c>
      <c r="E141" s="17" t="s">
        <v>79</v>
      </c>
      <c r="F141" s="18">
        <v>3000</v>
      </c>
      <c r="G141" s="18">
        <v>382</v>
      </c>
      <c r="H141" s="18">
        <v>325</v>
      </c>
      <c r="I141" s="18">
        <v>36000</v>
      </c>
      <c r="J141" s="18">
        <f t="shared" si="4"/>
        <v>3382.0090277777776</v>
      </c>
      <c r="K141" s="18">
        <f t="shared" si="5"/>
        <v>3707</v>
      </c>
      <c r="L141" s="18">
        <v>35819</v>
      </c>
      <c r="M141" s="18">
        <v>19</v>
      </c>
      <c r="N141" s="19" t="s">
        <v>59</v>
      </c>
      <c r="O141" s="20"/>
      <c r="P141" s="20"/>
      <c r="Q141" s="20"/>
      <c r="R141" s="20"/>
      <c r="S141" s="21" t="s">
        <v>17</v>
      </c>
      <c r="T141" s="20" t="str">
        <f>IF(AND(C141&gt;='Campaign Metadata'!B$2,Posts!C141&lt;='Campaign Metadata'!C$2),"During","Before/After")</f>
        <v>Before/After</v>
      </c>
      <c r="U141" s="20" t="str">
        <f>IF(AND(C141&gt;='Campaign Metadata'!B$3,Posts!C141&lt;='Campaign Metadata'!C$3),"During","Before/After")</f>
        <v>Before/After</v>
      </c>
      <c r="V141" s="20" t="str">
        <f>IF(AND(C141&gt;='Campaign Metadata'!B$4,Posts!C141&lt;='Campaign Metadata'!C$4),"During","Before/After")</f>
        <v>Before/After</v>
      </c>
      <c r="W141" s="50" t="str">
        <f>IF(AND(C141&gt;='Campaign Metadata'!B$5,Posts!C141&lt;='Campaign Metadata'!C$5),"During","Before/After")</f>
        <v>Before/After</v>
      </c>
    </row>
    <row r="142" spans="1:23" x14ac:dyDescent="0.25">
      <c r="A142" s="49" t="s">
        <v>188</v>
      </c>
      <c r="B142" s="92" t="s">
        <v>24</v>
      </c>
      <c r="C142" s="35" t="s">
        <v>189</v>
      </c>
      <c r="D142" s="17" t="s">
        <v>42</v>
      </c>
      <c r="E142" s="17" t="s">
        <v>65</v>
      </c>
      <c r="F142" s="18">
        <v>2551</v>
      </c>
      <c r="G142" s="18">
        <v>915</v>
      </c>
      <c r="H142" s="18">
        <v>205</v>
      </c>
      <c r="I142" s="18">
        <v>30612</v>
      </c>
      <c r="J142" s="18">
        <f t="shared" si="4"/>
        <v>3466.0066967202406</v>
      </c>
      <c r="K142" s="18">
        <f t="shared" si="5"/>
        <v>3671</v>
      </c>
      <c r="L142" s="18">
        <v>30360</v>
      </c>
      <c r="M142" s="18">
        <v>227</v>
      </c>
      <c r="N142" s="19" t="s">
        <v>27</v>
      </c>
      <c r="O142" s="20"/>
      <c r="P142" s="20"/>
      <c r="Q142" s="20"/>
      <c r="R142" s="20"/>
      <c r="S142" s="22" t="s">
        <v>22</v>
      </c>
      <c r="T142" s="20" t="str">
        <f>IF(AND(C142&gt;='Campaign Metadata'!B$2,Posts!C142&lt;='Campaign Metadata'!C$2),"During","Before/After")</f>
        <v>Before/After</v>
      </c>
      <c r="U142" s="20" t="str">
        <f>IF(AND(C142&gt;='Campaign Metadata'!B$3,Posts!C142&lt;='Campaign Metadata'!C$3),"During","Before/After")</f>
        <v>Before/After</v>
      </c>
      <c r="V142" s="20" t="str">
        <f>IF(AND(C142&gt;='Campaign Metadata'!B$4,Posts!C142&lt;='Campaign Metadata'!C$4),"During","Before/After")</f>
        <v>Before/After</v>
      </c>
      <c r="W142" s="50" t="str">
        <f>IF(AND(C142&gt;='Campaign Metadata'!B$5,Posts!C142&lt;='Campaign Metadata'!C$5),"During","Before/After")</f>
        <v>Before/After</v>
      </c>
    </row>
    <row r="143" spans="1:23" x14ac:dyDescent="0.25">
      <c r="A143" s="49" t="s">
        <v>416</v>
      </c>
      <c r="B143" s="92" t="s">
        <v>13</v>
      </c>
      <c r="C143" s="35" t="s">
        <v>417</v>
      </c>
      <c r="D143" s="17" t="s">
        <v>71</v>
      </c>
      <c r="E143" s="17" t="s">
        <v>141</v>
      </c>
      <c r="F143" s="18">
        <v>3160</v>
      </c>
      <c r="G143" s="18">
        <v>204</v>
      </c>
      <c r="H143" s="18">
        <v>297</v>
      </c>
      <c r="I143" s="18">
        <v>44240</v>
      </c>
      <c r="J143" s="18">
        <f t="shared" si="4"/>
        <v>3364.0067133815551</v>
      </c>
      <c r="K143" s="18">
        <f t="shared" si="5"/>
        <v>3661</v>
      </c>
      <c r="L143" s="18">
        <v>43666</v>
      </c>
      <c r="M143" s="18">
        <v>49</v>
      </c>
      <c r="N143" s="19" t="s">
        <v>59</v>
      </c>
      <c r="O143" s="20" t="s">
        <v>597</v>
      </c>
      <c r="P143" s="20"/>
      <c r="Q143" s="20"/>
      <c r="R143" s="20"/>
      <c r="S143" s="22" t="s">
        <v>35</v>
      </c>
      <c r="T143" s="20" t="str">
        <f>IF(AND(C143&gt;='Campaign Metadata'!B$2,Posts!C143&lt;='Campaign Metadata'!C$2),"During","Before/After")</f>
        <v>Before/After</v>
      </c>
      <c r="U143" s="20" t="str">
        <f>IF(AND(C143&gt;='Campaign Metadata'!B$3,Posts!C143&lt;='Campaign Metadata'!C$3),"During","Before/After")</f>
        <v>During</v>
      </c>
      <c r="V143" s="20" t="str">
        <f>IF(AND(C143&gt;='Campaign Metadata'!B$4,Posts!C143&lt;='Campaign Metadata'!C$4),"During","Before/After")</f>
        <v>Before/After</v>
      </c>
      <c r="W143" s="50" t="str">
        <f>IF(AND(C143&gt;='Campaign Metadata'!B$5,Posts!C143&lt;='Campaign Metadata'!C$5),"During","Before/After")</f>
        <v>Before/After</v>
      </c>
    </row>
    <row r="144" spans="1:23" x14ac:dyDescent="0.25">
      <c r="A144" s="49" t="s">
        <v>162</v>
      </c>
      <c r="B144" s="92" t="s">
        <v>13</v>
      </c>
      <c r="C144" s="35" t="s">
        <v>163</v>
      </c>
      <c r="D144" s="17" t="s">
        <v>71</v>
      </c>
      <c r="E144" s="17" t="s">
        <v>141</v>
      </c>
      <c r="F144" s="18">
        <v>2825</v>
      </c>
      <c r="G144" s="18">
        <v>535</v>
      </c>
      <c r="H144" s="18">
        <v>295</v>
      </c>
      <c r="I144" s="18">
        <v>45200</v>
      </c>
      <c r="J144" s="18">
        <f t="shared" si="4"/>
        <v>3360.0065265486724</v>
      </c>
      <c r="K144" s="18">
        <f t="shared" si="5"/>
        <v>3655</v>
      </c>
      <c r="L144" s="18">
        <v>44739</v>
      </c>
      <c r="M144" s="18">
        <v>169</v>
      </c>
      <c r="N144" s="19" t="s">
        <v>27</v>
      </c>
      <c r="O144" s="20"/>
      <c r="P144" s="20"/>
      <c r="Q144" s="20"/>
      <c r="R144" s="20"/>
      <c r="S144" s="21" t="s">
        <v>17</v>
      </c>
      <c r="T144" s="20" t="str">
        <f>IF(AND(C144&gt;='Campaign Metadata'!B$2,Posts!C144&lt;='Campaign Metadata'!C$2),"During","Before/After")</f>
        <v>Before/After</v>
      </c>
      <c r="U144" s="20" t="str">
        <f>IF(AND(C144&gt;='Campaign Metadata'!B$3,Posts!C144&lt;='Campaign Metadata'!C$3),"During","Before/After")</f>
        <v>Before/After</v>
      </c>
      <c r="V144" s="20" t="str">
        <f>IF(AND(C144&gt;='Campaign Metadata'!B$4,Posts!C144&lt;='Campaign Metadata'!C$4),"During","Before/After")</f>
        <v>During</v>
      </c>
      <c r="W144" s="50" t="str">
        <f>IF(AND(C144&gt;='Campaign Metadata'!B$5,Posts!C144&lt;='Campaign Metadata'!C$5),"During","Before/After")</f>
        <v>Before/After</v>
      </c>
    </row>
    <row r="145" spans="1:23" x14ac:dyDescent="0.25">
      <c r="A145" s="49" t="s">
        <v>142</v>
      </c>
      <c r="B145" s="92" t="s">
        <v>13</v>
      </c>
      <c r="C145" s="35" t="s">
        <v>143</v>
      </c>
      <c r="D145" s="17" t="s">
        <v>42</v>
      </c>
      <c r="E145" s="17" t="s">
        <v>46</v>
      </c>
      <c r="F145" s="18">
        <v>2704</v>
      </c>
      <c r="G145" s="18">
        <v>752</v>
      </c>
      <c r="H145" s="18">
        <v>153</v>
      </c>
      <c r="I145" s="18">
        <v>21632</v>
      </c>
      <c r="J145" s="18">
        <f t="shared" si="4"/>
        <v>3456.0070728550295</v>
      </c>
      <c r="K145" s="18">
        <f t="shared" si="5"/>
        <v>3609</v>
      </c>
      <c r="L145" s="18">
        <v>20792</v>
      </c>
      <c r="M145" s="18">
        <v>127</v>
      </c>
      <c r="N145" s="19" t="s">
        <v>59</v>
      </c>
      <c r="O145" s="20"/>
      <c r="P145" s="20"/>
      <c r="Q145" s="20"/>
      <c r="R145" s="20"/>
      <c r="S145" s="22"/>
      <c r="T145" s="20" t="str">
        <f>IF(AND(C145&gt;='Campaign Metadata'!B$2,Posts!C145&lt;='Campaign Metadata'!C$2),"During","Before/After")</f>
        <v>Before/After</v>
      </c>
      <c r="U145" s="20" t="str">
        <f>IF(AND(C145&gt;='Campaign Metadata'!B$3,Posts!C145&lt;='Campaign Metadata'!C$3),"During","Before/After")</f>
        <v>Before/After</v>
      </c>
      <c r="V145" s="20" t="str">
        <f>IF(AND(C145&gt;='Campaign Metadata'!B$4,Posts!C145&lt;='Campaign Metadata'!C$4),"During","Before/After")</f>
        <v>Before/After</v>
      </c>
      <c r="W145" s="50" t="str">
        <f>IF(AND(C145&gt;='Campaign Metadata'!B$5,Posts!C145&lt;='Campaign Metadata'!C$5),"During","Before/After")</f>
        <v>Before/After</v>
      </c>
    </row>
    <row r="146" spans="1:23" x14ac:dyDescent="0.25">
      <c r="A146" s="49" t="s">
        <v>540</v>
      </c>
      <c r="B146" s="92" t="s">
        <v>40</v>
      </c>
      <c r="C146" s="35" t="s">
        <v>541</v>
      </c>
      <c r="D146" s="17" t="s">
        <v>20</v>
      </c>
      <c r="E146" s="17" t="s">
        <v>53</v>
      </c>
      <c r="F146" s="18">
        <v>2634</v>
      </c>
      <c r="G146" s="18">
        <v>726</v>
      </c>
      <c r="H146" s="18">
        <v>241</v>
      </c>
      <c r="I146" s="18">
        <v>28974</v>
      </c>
      <c r="J146" s="18">
        <f t="shared" si="4"/>
        <v>3360.0083178021673</v>
      </c>
      <c r="K146" s="18">
        <f t="shared" si="5"/>
        <v>3601</v>
      </c>
      <c r="L146" s="18">
        <v>28102</v>
      </c>
      <c r="M146" s="18">
        <v>277</v>
      </c>
      <c r="N146" s="19" t="s">
        <v>34</v>
      </c>
      <c r="O146" s="20"/>
      <c r="P146" s="20"/>
      <c r="Q146" s="20"/>
      <c r="R146" s="20"/>
      <c r="S146" s="21" t="s">
        <v>17</v>
      </c>
      <c r="T146" s="20" t="str">
        <f>IF(AND(C146&gt;='Campaign Metadata'!B$2,Posts!C146&lt;='Campaign Metadata'!C$2),"During","Before/After")</f>
        <v>Before/After</v>
      </c>
      <c r="U146" s="20" t="str">
        <f>IF(AND(C146&gt;='Campaign Metadata'!B$3,Posts!C146&lt;='Campaign Metadata'!C$3),"During","Before/After")</f>
        <v>Before/After</v>
      </c>
      <c r="V146" s="20" t="str">
        <f>IF(AND(C146&gt;='Campaign Metadata'!B$4,Posts!C146&lt;='Campaign Metadata'!C$4),"During","Before/After")</f>
        <v>Before/After</v>
      </c>
      <c r="W146" s="50" t="str">
        <f>IF(AND(C146&gt;='Campaign Metadata'!B$5,Posts!C146&lt;='Campaign Metadata'!C$5),"During","Before/After")</f>
        <v>Before/After</v>
      </c>
    </row>
    <row r="147" spans="1:23" x14ac:dyDescent="0.25">
      <c r="A147" s="49" t="s">
        <v>521</v>
      </c>
      <c r="B147" s="92" t="s">
        <v>24</v>
      </c>
      <c r="C147" s="35" t="s">
        <v>522</v>
      </c>
      <c r="D147" s="17" t="s">
        <v>49</v>
      </c>
      <c r="E147" s="17" t="s">
        <v>50</v>
      </c>
      <c r="F147" s="18">
        <v>3166</v>
      </c>
      <c r="G147" s="18">
        <v>90</v>
      </c>
      <c r="H147" s="18">
        <v>341</v>
      </c>
      <c r="I147" s="18">
        <v>56988</v>
      </c>
      <c r="J147" s="18">
        <f t="shared" si="4"/>
        <v>3256.0059837158701</v>
      </c>
      <c r="K147" s="18">
        <f t="shared" si="5"/>
        <v>3597</v>
      </c>
      <c r="L147" s="18">
        <v>56125</v>
      </c>
      <c r="M147" s="18">
        <v>135</v>
      </c>
      <c r="N147" s="19" t="s">
        <v>34</v>
      </c>
      <c r="O147" s="20"/>
      <c r="P147" s="20"/>
      <c r="Q147" s="20"/>
      <c r="R147" s="20"/>
      <c r="S147" s="22" t="s">
        <v>22</v>
      </c>
      <c r="T147" s="20" t="str">
        <f>IF(AND(C147&gt;='Campaign Metadata'!B$2,Posts!C147&lt;='Campaign Metadata'!C$2),"During","Before/After")</f>
        <v>Before/After</v>
      </c>
      <c r="U147" s="20" t="str">
        <f>IF(AND(C147&gt;='Campaign Metadata'!B$3,Posts!C147&lt;='Campaign Metadata'!C$3),"During","Before/After")</f>
        <v>During</v>
      </c>
      <c r="V147" s="20" t="str">
        <f>IF(AND(C147&gt;='Campaign Metadata'!B$4,Posts!C147&lt;='Campaign Metadata'!C$4),"During","Before/After")</f>
        <v>Before/After</v>
      </c>
      <c r="W147" s="50" t="str">
        <f>IF(AND(C147&gt;='Campaign Metadata'!B$5,Posts!C147&lt;='Campaign Metadata'!C$5),"During","Before/After")</f>
        <v>Before/After</v>
      </c>
    </row>
    <row r="148" spans="1:23" x14ac:dyDescent="0.25">
      <c r="A148" s="49" t="s">
        <v>122</v>
      </c>
      <c r="B148" s="92" t="s">
        <v>24</v>
      </c>
      <c r="C148" s="35" t="s">
        <v>123</v>
      </c>
      <c r="D148" s="17" t="s">
        <v>15</v>
      </c>
      <c r="E148" s="17" t="s">
        <v>26</v>
      </c>
      <c r="F148" s="18">
        <v>3138</v>
      </c>
      <c r="G148" s="18">
        <v>123</v>
      </c>
      <c r="H148" s="18">
        <v>291</v>
      </c>
      <c r="I148" s="18">
        <v>28242</v>
      </c>
      <c r="J148" s="18">
        <f t="shared" si="4"/>
        <v>3261.0103038028469</v>
      </c>
      <c r="K148" s="18">
        <f t="shared" si="5"/>
        <v>3552</v>
      </c>
      <c r="L148" s="18">
        <v>27550</v>
      </c>
      <c r="M148" s="18">
        <v>87</v>
      </c>
      <c r="N148" s="19" t="s">
        <v>27</v>
      </c>
      <c r="O148" s="20"/>
      <c r="P148" s="20"/>
      <c r="Q148" s="20"/>
      <c r="R148" s="20"/>
      <c r="S148" s="22" t="s">
        <v>35</v>
      </c>
      <c r="T148" s="20" t="str">
        <f>IF(AND(C148&gt;='Campaign Metadata'!B$2,Posts!C148&lt;='Campaign Metadata'!C$2),"During","Before/After")</f>
        <v>Before/After</v>
      </c>
      <c r="U148" s="20" t="str">
        <f>IF(AND(C148&gt;='Campaign Metadata'!B$3,Posts!C148&lt;='Campaign Metadata'!C$3),"During","Before/After")</f>
        <v>Before/After</v>
      </c>
      <c r="V148" s="20" t="str">
        <f>IF(AND(C148&gt;='Campaign Metadata'!B$4,Posts!C148&lt;='Campaign Metadata'!C$4),"During","Before/After")</f>
        <v>Before/After</v>
      </c>
      <c r="W148" s="50" t="str">
        <f>IF(AND(C148&gt;='Campaign Metadata'!B$5,Posts!C148&lt;='Campaign Metadata'!C$5),"During","Before/After")</f>
        <v>Before/After</v>
      </c>
    </row>
    <row r="149" spans="1:23" x14ac:dyDescent="0.25">
      <c r="A149" s="49" t="s">
        <v>175</v>
      </c>
      <c r="B149" s="92" t="s">
        <v>40</v>
      </c>
      <c r="C149" s="35" t="s">
        <v>176</v>
      </c>
      <c r="D149" s="17" t="s">
        <v>49</v>
      </c>
      <c r="E149" s="17" t="s">
        <v>56</v>
      </c>
      <c r="F149" s="18">
        <v>2878</v>
      </c>
      <c r="G149" s="18">
        <v>248</v>
      </c>
      <c r="H149" s="18">
        <v>416</v>
      </c>
      <c r="I149" s="18">
        <v>43170</v>
      </c>
      <c r="J149" s="18">
        <f t="shared" si="4"/>
        <v>3126.0096363215198</v>
      </c>
      <c r="K149" s="18">
        <f t="shared" si="5"/>
        <v>3542</v>
      </c>
      <c r="L149" s="18">
        <v>42667</v>
      </c>
      <c r="M149" s="18">
        <v>75</v>
      </c>
      <c r="N149" s="19" t="s">
        <v>59</v>
      </c>
      <c r="O149" s="20"/>
      <c r="P149" s="20"/>
      <c r="Q149" s="20"/>
      <c r="R149" s="20"/>
      <c r="S149" s="22" t="s">
        <v>28</v>
      </c>
      <c r="T149" s="20" t="str">
        <f>IF(AND(C149&gt;='Campaign Metadata'!B$2,Posts!C149&lt;='Campaign Metadata'!C$2),"During","Before/After")</f>
        <v>Before/After</v>
      </c>
      <c r="U149" s="20" t="str">
        <f>IF(AND(C149&gt;='Campaign Metadata'!B$3,Posts!C149&lt;='Campaign Metadata'!C$3),"During","Before/After")</f>
        <v>Before/After</v>
      </c>
      <c r="V149" s="20" t="str">
        <f>IF(AND(C149&gt;='Campaign Metadata'!B$4,Posts!C149&lt;='Campaign Metadata'!C$4),"During","Before/After")</f>
        <v>Before/After</v>
      </c>
      <c r="W149" s="50" t="str">
        <f>IF(AND(C149&gt;='Campaign Metadata'!B$5,Posts!C149&lt;='Campaign Metadata'!C$5),"During","Before/After")</f>
        <v>Before/After</v>
      </c>
    </row>
    <row r="150" spans="1:23" x14ac:dyDescent="0.25">
      <c r="A150" s="49" t="s">
        <v>94</v>
      </c>
      <c r="B150" s="92" t="s">
        <v>13</v>
      </c>
      <c r="C150" s="35" t="s">
        <v>95</v>
      </c>
      <c r="D150" s="17" t="s">
        <v>42</v>
      </c>
      <c r="E150" s="17" t="s">
        <v>46</v>
      </c>
      <c r="F150" s="18">
        <v>3128</v>
      </c>
      <c r="G150" s="18">
        <v>211</v>
      </c>
      <c r="H150" s="18">
        <v>197</v>
      </c>
      <c r="I150" s="18">
        <v>59432</v>
      </c>
      <c r="J150" s="18">
        <f t="shared" si="4"/>
        <v>3339.0033147126128</v>
      </c>
      <c r="K150" s="18">
        <f t="shared" si="5"/>
        <v>3536</v>
      </c>
      <c r="L150" s="18">
        <v>59182</v>
      </c>
      <c r="M150" s="18">
        <v>238</v>
      </c>
      <c r="N150" s="19" t="s">
        <v>34</v>
      </c>
      <c r="O150" s="20"/>
      <c r="P150" s="20"/>
      <c r="Q150" s="20"/>
      <c r="R150" s="20"/>
      <c r="S150" s="22"/>
      <c r="T150" s="20" t="str">
        <f>IF(AND(C150&gt;='Campaign Metadata'!B$2,Posts!C150&lt;='Campaign Metadata'!C$2),"During","Before/After")</f>
        <v>Before/After</v>
      </c>
      <c r="U150" s="20" t="str">
        <f>IF(AND(C150&gt;='Campaign Metadata'!B$3,Posts!C150&lt;='Campaign Metadata'!C$3),"During","Before/After")</f>
        <v>Before/After</v>
      </c>
      <c r="V150" s="20" t="str">
        <f>IF(AND(C150&gt;='Campaign Metadata'!B$4,Posts!C150&lt;='Campaign Metadata'!C$4),"During","Before/After")</f>
        <v>Before/After</v>
      </c>
      <c r="W150" s="50" t="str">
        <f>IF(AND(C150&gt;='Campaign Metadata'!B$5,Posts!C150&lt;='Campaign Metadata'!C$5),"During","Before/After")</f>
        <v>Before/After</v>
      </c>
    </row>
    <row r="151" spans="1:23" x14ac:dyDescent="0.25">
      <c r="A151" s="49" t="s">
        <v>202</v>
      </c>
      <c r="B151" s="92" t="s">
        <v>30</v>
      </c>
      <c r="C151" s="35" t="s">
        <v>203</v>
      </c>
      <c r="D151" s="17" t="s">
        <v>42</v>
      </c>
      <c r="E151" s="17" t="s">
        <v>85</v>
      </c>
      <c r="F151" s="18">
        <v>3068</v>
      </c>
      <c r="G151" s="18">
        <v>137</v>
      </c>
      <c r="H151" s="18">
        <v>329</v>
      </c>
      <c r="I151" s="18">
        <v>39884</v>
      </c>
      <c r="J151" s="18">
        <f t="shared" si="4"/>
        <v>3205.0082489218735</v>
      </c>
      <c r="K151" s="18">
        <f t="shared" si="5"/>
        <v>3534</v>
      </c>
      <c r="L151" s="18">
        <v>39404</v>
      </c>
      <c r="M151" s="18">
        <v>266</v>
      </c>
      <c r="N151" s="19" t="s">
        <v>34</v>
      </c>
      <c r="O151" s="20"/>
      <c r="P151" s="20"/>
      <c r="Q151" s="20"/>
      <c r="R151" s="20"/>
      <c r="S151" s="22" t="s">
        <v>22</v>
      </c>
      <c r="T151" s="20" t="str">
        <f>IF(AND(C151&gt;='Campaign Metadata'!B$2,Posts!C151&lt;='Campaign Metadata'!C$2),"During","Before/After")</f>
        <v>Before/After</v>
      </c>
      <c r="U151" s="20" t="str">
        <f>IF(AND(C151&gt;='Campaign Metadata'!B$3,Posts!C151&lt;='Campaign Metadata'!C$3),"During","Before/After")</f>
        <v>Before/After</v>
      </c>
      <c r="V151" s="20" t="str">
        <f>IF(AND(C151&gt;='Campaign Metadata'!B$4,Posts!C151&lt;='Campaign Metadata'!C$4),"During","Before/After")</f>
        <v>During</v>
      </c>
      <c r="W151" s="50" t="str">
        <f>IF(AND(C151&gt;='Campaign Metadata'!B$5,Posts!C151&lt;='Campaign Metadata'!C$5),"During","Before/After")</f>
        <v>Before/After</v>
      </c>
    </row>
    <row r="152" spans="1:23" x14ac:dyDescent="0.25">
      <c r="A152" s="49" t="s">
        <v>494</v>
      </c>
      <c r="B152" s="92" t="s">
        <v>30</v>
      </c>
      <c r="C152" s="35" t="s">
        <v>495</v>
      </c>
      <c r="D152" s="17" t="s">
        <v>15</v>
      </c>
      <c r="E152" s="17" t="s">
        <v>79</v>
      </c>
      <c r="F152" s="18">
        <v>2603</v>
      </c>
      <c r="G152" s="18">
        <v>690</v>
      </c>
      <c r="H152" s="18">
        <v>205</v>
      </c>
      <c r="I152" s="18">
        <v>13015</v>
      </c>
      <c r="J152" s="18">
        <f t="shared" si="4"/>
        <v>3293.0157510564732</v>
      </c>
      <c r="K152" s="18">
        <f t="shared" si="5"/>
        <v>3498</v>
      </c>
      <c r="L152" s="18">
        <v>12130</v>
      </c>
      <c r="M152" s="18">
        <v>20</v>
      </c>
      <c r="N152" s="19" t="s">
        <v>59</v>
      </c>
      <c r="O152" s="20"/>
      <c r="P152" s="20"/>
      <c r="Q152" s="20"/>
      <c r="R152" s="20"/>
      <c r="S152" s="22" t="s">
        <v>22</v>
      </c>
      <c r="T152" s="20" t="str">
        <f>IF(AND(C152&gt;='Campaign Metadata'!B$2,Posts!C152&lt;='Campaign Metadata'!C$2),"During","Before/After")</f>
        <v>Before/After</v>
      </c>
      <c r="U152" s="20" t="str">
        <f>IF(AND(C152&gt;='Campaign Metadata'!B$3,Posts!C152&lt;='Campaign Metadata'!C$3),"During","Before/After")</f>
        <v>Before/After</v>
      </c>
      <c r="V152" s="20" t="str">
        <f>IF(AND(C152&gt;='Campaign Metadata'!B$4,Posts!C152&lt;='Campaign Metadata'!C$4),"During","Before/After")</f>
        <v>Before/After</v>
      </c>
      <c r="W152" s="50" t="str">
        <f>IF(AND(C152&gt;='Campaign Metadata'!B$5,Posts!C152&lt;='Campaign Metadata'!C$5),"During","Before/After")</f>
        <v>Before/After</v>
      </c>
    </row>
    <row r="153" spans="1:23" x14ac:dyDescent="0.25">
      <c r="A153" s="49" t="s">
        <v>347</v>
      </c>
      <c r="B153" s="92" t="s">
        <v>13</v>
      </c>
      <c r="C153" s="35" t="s">
        <v>230</v>
      </c>
      <c r="D153" s="17" t="s">
        <v>20</v>
      </c>
      <c r="E153" s="17" t="s">
        <v>21</v>
      </c>
      <c r="F153" s="18">
        <v>3239</v>
      </c>
      <c r="G153" s="18">
        <v>43</v>
      </c>
      <c r="H153" s="18">
        <v>211</v>
      </c>
      <c r="I153" s="18">
        <v>22673</v>
      </c>
      <c r="J153" s="18">
        <f t="shared" si="4"/>
        <v>3282.0093062232613</v>
      </c>
      <c r="K153" s="18">
        <f t="shared" si="5"/>
        <v>3493</v>
      </c>
      <c r="L153" s="18">
        <v>22171</v>
      </c>
      <c r="M153" s="18">
        <v>230</v>
      </c>
      <c r="N153" s="19" t="s">
        <v>27</v>
      </c>
      <c r="O153" s="20"/>
      <c r="P153" s="20"/>
      <c r="Q153" s="20"/>
      <c r="R153" s="20"/>
      <c r="S153" s="22" t="s">
        <v>22</v>
      </c>
      <c r="T153" s="20" t="str">
        <f>IF(AND(C153&gt;='Campaign Metadata'!B$2,Posts!C153&lt;='Campaign Metadata'!C$2),"During","Before/After")</f>
        <v>Before/After</v>
      </c>
      <c r="U153" s="20" t="str">
        <f>IF(AND(C153&gt;='Campaign Metadata'!B$3,Posts!C153&lt;='Campaign Metadata'!C$3),"During","Before/After")</f>
        <v>Before/After</v>
      </c>
      <c r="V153" s="20" t="str">
        <f>IF(AND(C153&gt;='Campaign Metadata'!B$4,Posts!C153&lt;='Campaign Metadata'!C$4),"During","Before/After")</f>
        <v>Before/After</v>
      </c>
      <c r="W153" s="50" t="str">
        <f>IF(AND(C153&gt;='Campaign Metadata'!B$5,Posts!C153&lt;='Campaign Metadata'!C$5),"During","Before/After")</f>
        <v>Before/After</v>
      </c>
    </row>
    <row r="154" spans="1:23" x14ac:dyDescent="0.25">
      <c r="A154" s="49" t="s">
        <v>289</v>
      </c>
      <c r="B154" s="92" t="s">
        <v>13</v>
      </c>
      <c r="C154" s="35" t="s">
        <v>223</v>
      </c>
      <c r="D154" s="17" t="s">
        <v>49</v>
      </c>
      <c r="E154" s="17" t="s">
        <v>128</v>
      </c>
      <c r="F154" s="18">
        <v>3092</v>
      </c>
      <c r="G154" s="18">
        <v>106</v>
      </c>
      <c r="H154" s="18">
        <v>291</v>
      </c>
      <c r="I154" s="18">
        <v>27828</v>
      </c>
      <c r="J154" s="18">
        <f t="shared" si="4"/>
        <v>3198.010457093575</v>
      </c>
      <c r="K154" s="18">
        <f t="shared" si="5"/>
        <v>3489</v>
      </c>
      <c r="L154" s="18">
        <v>27217</v>
      </c>
      <c r="M154" s="18">
        <v>102</v>
      </c>
      <c r="N154" s="19" t="s">
        <v>59</v>
      </c>
      <c r="O154" s="20"/>
      <c r="P154" s="20"/>
      <c r="Q154" s="20"/>
      <c r="R154" s="20"/>
      <c r="S154" s="22"/>
      <c r="T154" s="20" t="str">
        <f>IF(AND(C154&gt;='Campaign Metadata'!B$2,Posts!C154&lt;='Campaign Metadata'!C$2),"During","Before/After")</f>
        <v>Before/After</v>
      </c>
      <c r="U154" s="20" t="str">
        <f>IF(AND(C154&gt;='Campaign Metadata'!B$3,Posts!C154&lt;='Campaign Metadata'!C$3),"During","Before/After")</f>
        <v>Before/After</v>
      </c>
      <c r="V154" s="20" t="str">
        <f>IF(AND(C154&gt;='Campaign Metadata'!B$4,Posts!C154&lt;='Campaign Metadata'!C$4),"During","Before/After")</f>
        <v>Before/After</v>
      </c>
      <c r="W154" s="50" t="str">
        <f>IF(AND(C154&gt;='Campaign Metadata'!B$5,Posts!C154&lt;='Campaign Metadata'!C$5),"During","Before/After")</f>
        <v>During</v>
      </c>
    </row>
    <row r="155" spans="1:23" x14ac:dyDescent="0.25">
      <c r="A155" s="49" t="s">
        <v>135</v>
      </c>
      <c r="B155" s="92" t="s">
        <v>13</v>
      </c>
      <c r="C155" s="35" t="s">
        <v>136</v>
      </c>
      <c r="D155" s="17" t="s">
        <v>49</v>
      </c>
      <c r="E155" s="17" t="s">
        <v>128</v>
      </c>
      <c r="F155" s="18">
        <v>2358</v>
      </c>
      <c r="G155" s="18">
        <v>784</v>
      </c>
      <c r="H155" s="18">
        <v>344</v>
      </c>
      <c r="I155" s="18">
        <v>35370</v>
      </c>
      <c r="J155" s="18">
        <f t="shared" si="4"/>
        <v>3142.0097257562907</v>
      </c>
      <c r="K155" s="18">
        <f t="shared" si="5"/>
        <v>3486</v>
      </c>
      <c r="L155" s="18">
        <v>34475</v>
      </c>
      <c r="M155" s="18">
        <v>216</v>
      </c>
      <c r="N155" s="19" t="s">
        <v>27</v>
      </c>
      <c r="O155" s="20"/>
      <c r="P155" s="20"/>
      <c r="Q155" s="20"/>
      <c r="R155" s="20"/>
      <c r="S155" s="22"/>
      <c r="T155" s="20" t="str">
        <f>IF(AND(C155&gt;='Campaign Metadata'!B$2,Posts!C155&lt;='Campaign Metadata'!C$2),"During","Before/After")</f>
        <v>Before/After</v>
      </c>
      <c r="U155" s="20" t="str">
        <f>IF(AND(C155&gt;='Campaign Metadata'!B$3,Posts!C155&lt;='Campaign Metadata'!C$3),"During","Before/After")</f>
        <v>During</v>
      </c>
      <c r="V155" s="20" t="str">
        <f>IF(AND(C155&gt;='Campaign Metadata'!B$4,Posts!C155&lt;='Campaign Metadata'!C$4),"During","Before/After")</f>
        <v>Before/After</v>
      </c>
      <c r="W155" s="50" t="str">
        <f>IF(AND(C155&gt;='Campaign Metadata'!B$5,Posts!C155&lt;='Campaign Metadata'!C$5),"During","Before/After")</f>
        <v>Before/After</v>
      </c>
    </row>
    <row r="156" spans="1:23" x14ac:dyDescent="0.25">
      <c r="A156" s="49" t="s">
        <v>384</v>
      </c>
      <c r="B156" s="92" t="s">
        <v>24</v>
      </c>
      <c r="C156" s="35" t="s">
        <v>219</v>
      </c>
      <c r="D156" s="17" t="s">
        <v>15</v>
      </c>
      <c r="E156" s="17" t="s">
        <v>26</v>
      </c>
      <c r="F156" s="18">
        <v>2728</v>
      </c>
      <c r="G156" s="18">
        <v>533</v>
      </c>
      <c r="H156" s="18">
        <v>215</v>
      </c>
      <c r="I156" s="18">
        <v>40920</v>
      </c>
      <c r="J156" s="18">
        <f t="shared" si="4"/>
        <v>3261.0052541544478</v>
      </c>
      <c r="K156" s="18">
        <f t="shared" si="5"/>
        <v>3476</v>
      </c>
      <c r="L156" s="18">
        <v>40816</v>
      </c>
      <c r="M156" s="18">
        <v>137</v>
      </c>
      <c r="N156" s="19" t="s">
        <v>59</v>
      </c>
      <c r="O156" s="20"/>
      <c r="P156" s="20"/>
      <c r="Q156" s="20"/>
      <c r="R156" s="20"/>
      <c r="S156" s="22" t="s">
        <v>22</v>
      </c>
      <c r="T156" s="20" t="str">
        <f>IF(AND(C156&gt;='Campaign Metadata'!B$2,Posts!C156&lt;='Campaign Metadata'!C$2),"During","Before/After")</f>
        <v>Before/After</v>
      </c>
      <c r="U156" s="20" t="str">
        <f>IF(AND(C156&gt;='Campaign Metadata'!B$3,Posts!C156&lt;='Campaign Metadata'!C$3),"During","Before/After")</f>
        <v>Before/After</v>
      </c>
      <c r="V156" s="20" t="str">
        <f>IF(AND(C156&gt;='Campaign Metadata'!B$4,Posts!C156&lt;='Campaign Metadata'!C$4),"During","Before/After")</f>
        <v>Before/After</v>
      </c>
      <c r="W156" s="50" t="str">
        <f>IF(AND(C156&gt;='Campaign Metadata'!B$5,Posts!C156&lt;='Campaign Metadata'!C$5),"During","Before/After")</f>
        <v>Before/After</v>
      </c>
    </row>
    <row r="157" spans="1:23" x14ac:dyDescent="0.25">
      <c r="A157" s="49" t="s">
        <v>545</v>
      </c>
      <c r="B157" s="92" t="s">
        <v>13</v>
      </c>
      <c r="C157" s="35" t="s">
        <v>546</v>
      </c>
      <c r="D157" s="17" t="s">
        <v>71</v>
      </c>
      <c r="E157" s="17" t="s">
        <v>141</v>
      </c>
      <c r="F157" s="18">
        <v>3440</v>
      </c>
      <c r="G157" s="18">
        <v>13</v>
      </c>
      <c r="H157" s="18">
        <v>20</v>
      </c>
      <c r="I157" s="18">
        <v>58480</v>
      </c>
      <c r="J157" s="18">
        <f t="shared" si="4"/>
        <v>3453.0003419972641</v>
      </c>
      <c r="K157" s="18">
        <f t="shared" si="5"/>
        <v>3473</v>
      </c>
      <c r="L157" s="18">
        <v>58146</v>
      </c>
      <c r="M157" s="18">
        <v>210</v>
      </c>
      <c r="N157" s="19" t="s">
        <v>27</v>
      </c>
      <c r="O157" s="20" t="s">
        <v>592</v>
      </c>
      <c r="P157" s="20"/>
      <c r="Q157" s="20"/>
      <c r="R157" s="20"/>
      <c r="S157" s="22" t="s">
        <v>35</v>
      </c>
      <c r="T157" s="20" t="str">
        <f>IF(AND(C157&gt;='Campaign Metadata'!B$2,Posts!C157&lt;='Campaign Metadata'!C$2),"During","Before/After")</f>
        <v>Before/After</v>
      </c>
      <c r="U157" s="20" t="str">
        <f>IF(AND(C157&gt;='Campaign Metadata'!B$3,Posts!C157&lt;='Campaign Metadata'!C$3),"During","Before/After")</f>
        <v>Before/After</v>
      </c>
      <c r="V157" s="20" t="str">
        <f>IF(AND(C157&gt;='Campaign Metadata'!B$4,Posts!C157&lt;='Campaign Metadata'!C$4),"During","Before/After")</f>
        <v>Before/After</v>
      </c>
      <c r="W157" s="50" t="str">
        <f>IF(AND(C157&gt;='Campaign Metadata'!B$5,Posts!C157&lt;='Campaign Metadata'!C$5),"During","Before/After")</f>
        <v>Before/After</v>
      </c>
    </row>
    <row r="158" spans="1:23" x14ac:dyDescent="0.25">
      <c r="A158" s="49" t="s">
        <v>291</v>
      </c>
      <c r="B158" s="92" t="s">
        <v>24</v>
      </c>
      <c r="C158" s="35" t="s">
        <v>292</v>
      </c>
      <c r="D158" s="17" t="s">
        <v>15</v>
      </c>
      <c r="E158" s="17" t="s">
        <v>26</v>
      </c>
      <c r="F158" s="18">
        <v>2936</v>
      </c>
      <c r="G158" s="18">
        <v>439</v>
      </c>
      <c r="H158" s="18">
        <v>44</v>
      </c>
      <c r="I158" s="18">
        <v>38168</v>
      </c>
      <c r="J158" s="18">
        <f t="shared" si="4"/>
        <v>3375.0011527981555</v>
      </c>
      <c r="K158" s="18">
        <f t="shared" si="5"/>
        <v>3419</v>
      </c>
      <c r="L158" s="18">
        <v>37571</v>
      </c>
      <c r="M158" s="18">
        <v>22</v>
      </c>
      <c r="N158" s="19" t="s">
        <v>34</v>
      </c>
      <c r="O158" s="20"/>
      <c r="P158" s="20"/>
      <c r="Q158" s="20"/>
      <c r="R158" s="20"/>
      <c r="S158" s="22" t="s">
        <v>35</v>
      </c>
      <c r="T158" s="20" t="str">
        <f>IF(AND(C158&gt;='Campaign Metadata'!B$2,Posts!C158&lt;='Campaign Metadata'!C$2),"During","Before/After")</f>
        <v>Before/After</v>
      </c>
      <c r="U158" s="20" t="str">
        <f>IF(AND(C158&gt;='Campaign Metadata'!B$3,Posts!C158&lt;='Campaign Metadata'!C$3),"During","Before/After")</f>
        <v>Before/After</v>
      </c>
      <c r="V158" s="20" t="str">
        <f>IF(AND(C158&gt;='Campaign Metadata'!B$4,Posts!C158&lt;='Campaign Metadata'!C$4),"During","Before/After")</f>
        <v>Before/After</v>
      </c>
      <c r="W158" s="50" t="str">
        <f>IF(AND(C158&gt;='Campaign Metadata'!B$5,Posts!C158&lt;='Campaign Metadata'!C$5),"During","Before/After")</f>
        <v>Before/After</v>
      </c>
    </row>
    <row r="159" spans="1:23" x14ac:dyDescent="0.25">
      <c r="A159" s="49" t="s">
        <v>410</v>
      </c>
      <c r="B159" s="92" t="s">
        <v>30</v>
      </c>
      <c r="C159" s="35" t="s">
        <v>327</v>
      </c>
      <c r="D159" s="17" t="s">
        <v>42</v>
      </c>
      <c r="E159" s="17" t="s">
        <v>85</v>
      </c>
      <c r="F159" s="18">
        <v>2234</v>
      </c>
      <c r="G159" s="18">
        <v>653</v>
      </c>
      <c r="H159" s="18">
        <v>432</v>
      </c>
      <c r="I159" s="18">
        <v>11170</v>
      </c>
      <c r="J159" s="18">
        <f t="shared" si="4"/>
        <v>2887.0386750223815</v>
      </c>
      <c r="K159" s="18">
        <f t="shared" si="5"/>
        <v>3319</v>
      </c>
      <c r="L159" s="18">
        <v>10569</v>
      </c>
      <c r="M159" s="18">
        <v>198</v>
      </c>
      <c r="N159" s="19" t="s">
        <v>59</v>
      </c>
      <c r="O159" s="20"/>
      <c r="P159" s="20"/>
      <c r="Q159" s="20"/>
      <c r="R159" s="20"/>
      <c r="S159" s="22" t="s">
        <v>28</v>
      </c>
      <c r="T159" s="20" t="str">
        <f>IF(AND(C159&gt;='Campaign Metadata'!B$2,Posts!C159&lt;='Campaign Metadata'!C$2),"During","Before/After")</f>
        <v>Before/After</v>
      </c>
      <c r="U159" s="20" t="str">
        <f>IF(AND(C159&gt;='Campaign Metadata'!B$3,Posts!C159&lt;='Campaign Metadata'!C$3),"During","Before/After")</f>
        <v>Before/After</v>
      </c>
      <c r="V159" s="20" t="str">
        <f>IF(AND(C159&gt;='Campaign Metadata'!B$4,Posts!C159&lt;='Campaign Metadata'!C$4),"During","Before/After")</f>
        <v>Before/After</v>
      </c>
      <c r="W159" s="50" t="str">
        <f>IF(AND(C159&gt;='Campaign Metadata'!B$5,Posts!C159&lt;='Campaign Metadata'!C$5),"During","Before/After")</f>
        <v>During</v>
      </c>
    </row>
    <row r="160" spans="1:23" x14ac:dyDescent="0.25">
      <c r="A160" s="49" t="s">
        <v>350</v>
      </c>
      <c r="B160" s="92" t="s">
        <v>40</v>
      </c>
      <c r="C160" s="35" t="s">
        <v>351</v>
      </c>
      <c r="D160" s="17" t="s">
        <v>20</v>
      </c>
      <c r="E160" s="17" t="s">
        <v>53</v>
      </c>
      <c r="F160" s="18">
        <v>2418</v>
      </c>
      <c r="G160" s="18">
        <v>754</v>
      </c>
      <c r="H160" s="18">
        <v>54</v>
      </c>
      <c r="I160" s="18">
        <v>43524</v>
      </c>
      <c r="J160" s="18">
        <f t="shared" si="4"/>
        <v>3172.001240694789</v>
      </c>
      <c r="K160" s="18">
        <f t="shared" si="5"/>
        <v>3226</v>
      </c>
      <c r="L160" s="18">
        <v>42743</v>
      </c>
      <c r="M160" s="18">
        <v>182</v>
      </c>
      <c r="N160" s="19" t="s">
        <v>34</v>
      </c>
      <c r="O160" s="20"/>
      <c r="P160" s="20"/>
      <c r="Q160" s="20"/>
      <c r="R160" s="20"/>
      <c r="S160" s="21" t="s">
        <v>17</v>
      </c>
      <c r="T160" s="20" t="str">
        <f>IF(AND(C160&gt;='Campaign Metadata'!B$2,Posts!C160&lt;='Campaign Metadata'!C$2),"During","Before/After")</f>
        <v>Before/After</v>
      </c>
      <c r="U160" s="20" t="str">
        <f>IF(AND(C160&gt;='Campaign Metadata'!B$3,Posts!C160&lt;='Campaign Metadata'!C$3),"During","Before/After")</f>
        <v>Before/After</v>
      </c>
      <c r="V160" s="20" t="str">
        <f>IF(AND(C160&gt;='Campaign Metadata'!B$4,Posts!C160&lt;='Campaign Metadata'!C$4),"During","Before/After")</f>
        <v>Before/After</v>
      </c>
      <c r="W160" s="50" t="str">
        <f>IF(AND(C160&gt;='Campaign Metadata'!B$5,Posts!C160&lt;='Campaign Metadata'!C$5),"During","Before/After")</f>
        <v>Before/After</v>
      </c>
    </row>
    <row r="161" spans="1:23" x14ac:dyDescent="0.25">
      <c r="A161" s="49" t="s">
        <v>550</v>
      </c>
      <c r="B161" s="92" t="s">
        <v>40</v>
      </c>
      <c r="C161" s="35" t="s">
        <v>74</v>
      </c>
      <c r="D161" s="17" t="s">
        <v>49</v>
      </c>
      <c r="E161" s="17" t="s">
        <v>56</v>
      </c>
      <c r="F161" s="18">
        <v>2581</v>
      </c>
      <c r="G161" s="18">
        <v>517</v>
      </c>
      <c r="H161" s="18">
        <v>117</v>
      </c>
      <c r="I161" s="18">
        <v>23229</v>
      </c>
      <c r="J161" s="18">
        <f t="shared" si="4"/>
        <v>3098.005036807439</v>
      </c>
      <c r="K161" s="18">
        <f t="shared" si="5"/>
        <v>3215</v>
      </c>
      <c r="L161" s="18">
        <v>22331</v>
      </c>
      <c r="M161" s="18">
        <v>70</v>
      </c>
      <c r="N161" s="19" t="s">
        <v>59</v>
      </c>
      <c r="O161" s="20"/>
      <c r="P161" s="20"/>
      <c r="Q161" s="20"/>
      <c r="R161" s="20"/>
      <c r="S161" s="22" t="s">
        <v>28</v>
      </c>
      <c r="T161" s="20" t="str">
        <f>IF(AND(C161&gt;='Campaign Metadata'!B$2,Posts!C161&lt;='Campaign Metadata'!C$2),"During","Before/After")</f>
        <v>Before/After</v>
      </c>
      <c r="U161" s="20" t="str">
        <f>IF(AND(C161&gt;='Campaign Metadata'!B$3,Posts!C161&lt;='Campaign Metadata'!C$3),"During","Before/After")</f>
        <v>Before/After</v>
      </c>
      <c r="V161" s="20" t="str">
        <f>IF(AND(C161&gt;='Campaign Metadata'!B$4,Posts!C161&lt;='Campaign Metadata'!C$4),"During","Before/After")</f>
        <v>Before/After</v>
      </c>
      <c r="W161" s="50" t="str">
        <f>IF(AND(C161&gt;='Campaign Metadata'!B$5,Posts!C161&lt;='Campaign Metadata'!C$5),"During","Before/After")</f>
        <v>Before/After</v>
      </c>
    </row>
    <row r="162" spans="1:23" x14ac:dyDescent="0.25">
      <c r="A162" s="49" t="s">
        <v>534</v>
      </c>
      <c r="B162" s="92" t="s">
        <v>40</v>
      </c>
      <c r="C162" s="35" t="s">
        <v>300</v>
      </c>
      <c r="D162" s="17" t="s">
        <v>42</v>
      </c>
      <c r="E162" s="17" t="s">
        <v>43</v>
      </c>
      <c r="F162" s="18">
        <v>2751</v>
      </c>
      <c r="G162" s="18">
        <v>33</v>
      </c>
      <c r="H162" s="18">
        <v>430</v>
      </c>
      <c r="I162" s="18">
        <v>44016</v>
      </c>
      <c r="J162" s="18">
        <f t="shared" si="4"/>
        <v>2784.0097691748456</v>
      </c>
      <c r="K162" s="18">
        <f t="shared" si="5"/>
        <v>3214</v>
      </c>
      <c r="L162" s="18">
        <v>43415</v>
      </c>
      <c r="M162" s="18">
        <v>129</v>
      </c>
      <c r="N162" s="19" t="s">
        <v>59</v>
      </c>
      <c r="O162" s="20"/>
      <c r="P162" s="20"/>
      <c r="Q162" s="20"/>
      <c r="R162" s="20"/>
      <c r="S162" s="22"/>
      <c r="T162" s="20" t="str">
        <f>IF(AND(C162&gt;='Campaign Metadata'!B$2,Posts!C162&lt;='Campaign Metadata'!C$2),"During","Before/After")</f>
        <v>Before/After</v>
      </c>
      <c r="U162" s="20" t="str">
        <f>IF(AND(C162&gt;='Campaign Metadata'!B$3,Posts!C162&lt;='Campaign Metadata'!C$3),"During","Before/After")</f>
        <v>Before/After</v>
      </c>
      <c r="V162" s="20" t="str">
        <f>IF(AND(C162&gt;='Campaign Metadata'!B$4,Posts!C162&lt;='Campaign Metadata'!C$4),"During","Before/After")</f>
        <v>Before/After</v>
      </c>
      <c r="W162" s="50" t="str">
        <f>IF(AND(C162&gt;='Campaign Metadata'!B$5,Posts!C162&lt;='Campaign Metadata'!C$5),"During","Before/After")</f>
        <v>Before/After</v>
      </c>
    </row>
    <row r="163" spans="1:23" x14ac:dyDescent="0.25">
      <c r="A163" s="49" t="s">
        <v>105</v>
      </c>
      <c r="B163" s="92" t="s">
        <v>30</v>
      </c>
      <c r="C163" s="35" t="s">
        <v>106</v>
      </c>
      <c r="D163" s="17" t="s">
        <v>71</v>
      </c>
      <c r="E163" s="17" t="s">
        <v>82</v>
      </c>
      <c r="F163" s="18">
        <v>3095</v>
      </c>
      <c r="G163" s="18">
        <v>39</v>
      </c>
      <c r="H163" s="18">
        <v>78</v>
      </c>
      <c r="I163" s="18">
        <v>55710</v>
      </c>
      <c r="J163" s="18">
        <f t="shared" si="4"/>
        <v>3134.0014001077006</v>
      </c>
      <c r="K163" s="18">
        <f t="shared" si="5"/>
        <v>3212</v>
      </c>
      <c r="L163" s="18">
        <v>54808</v>
      </c>
      <c r="M163" s="18">
        <v>93</v>
      </c>
      <c r="N163" s="19" t="s">
        <v>34</v>
      </c>
      <c r="O163" s="20"/>
      <c r="P163" s="20"/>
      <c r="Q163" s="20"/>
      <c r="R163" s="20"/>
      <c r="S163" s="22"/>
      <c r="T163" s="20" t="str">
        <f>IF(AND(C163&gt;='Campaign Metadata'!B$2,Posts!C163&lt;='Campaign Metadata'!C$2),"During","Before/After")</f>
        <v>Before/After</v>
      </c>
      <c r="U163" s="20" t="str">
        <f>IF(AND(C163&gt;='Campaign Metadata'!B$3,Posts!C163&lt;='Campaign Metadata'!C$3),"During","Before/After")</f>
        <v>Before/After</v>
      </c>
      <c r="V163" s="20" t="str">
        <f>IF(AND(C163&gt;='Campaign Metadata'!B$4,Posts!C163&lt;='Campaign Metadata'!C$4),"During","Before/After")</f>
        <v>Before/After</v>
      </c>
      <c r="W163" s="50" t="str">
        <f>IF(AND(C163&gt;='Campaign Metadata'!B$5,Posts!C163&lt;='Campaign Metadata'!C$5),"During","Before/After")</f>
        <v>Before/After</v>
      </c>
    </row>
    <row r="164" spans="1:23" x14ac:dyDescent="0.25">
      <c r="A164" s="49" t="s">
        <v>303</v>
      </c>
      <c r="B164" s="92" t="s">
        <v>40</v>
      </c>
      <c r="C164" s="35" t="s">
        <v>111</v>
      </c>
      <c r="D164" s="17" t="s">
        <v>71</v>
      </c>
      <c r="E164" s="17" t="s">
        <v>72</v>
      </c>
      <c r="F164" s="18">
        <v>3008</v>
      </c>
      <c r="G164" s="18">
        <v>94</v>
      </c>
      <c r="H164" s="18">
        <v>37</v>
      </c>
      <c r="I164" s="18">
        <v>15040</v>
      </c>
      <c r="J164" s="18">
        <f t="shared" si="4"/>
        <v>3102.0024601063828</v>
      </c>
      <c r="K164" s="18">
        <f t="shared" si="5"/>
        <v>3139</v>
      </c>
      <c r="L164" s="18">
        <v>14639</v>
      </c>
      <c r="M164" s="18">
        <v>277</v>
      </c>
      <c r="N164" s="19" t="s">
        <v>59</v>
      </c>
      <c r="O164" s="20"/>
      <c r="P164" s="20"/>
      <c r="Q164" s="20"/>
      <c r="R164" s="20"/>
      <c r="S164" s="22"/>
      <c r="T164" s="20" t="str">
        <f>IF(AND(C164&gt;='Campaign Metadata'!B$2,Posts!C164&lt;='Campaign Metadata'!C$2),"During","Before/After")</f>
        <v>Before/After</v>
      </c>
      <c r="U164" s="20" t="str">
        <f>IF(AND(C164&gt;='Campaign Metadata'!B$3,Posts!C164&lt;='Campaign Metadata'!C$3),"During","Before/After")</f>
        <v>Before/After</v>
      </c>
      <c r="V164" s="20" t="str">
        <f>IF(AND(C164&gt;='Campaign Metadata'!B$4,Posts!C164&lt;='Campaign Metadata'!C$4),"During","Before/After")</f>
        <v>Before/After</v>
      </c>
      <c r="W164" s="50" t="str">
        <f>IF(AND(C164&gt;='Campaign Metadata'!B$5,Posts!C164&lt;='Campaign Metadata'!C$5),"During","Before/After")</f>
        <v>Before/After</v>
      </c>
    </row>
    <row r="165" spans="1:23" x14ac:dyDescent="0.25">
      <c r="A165" s="49" t="s">
        <v>277</v>
      </c>
      <c r="B165" s="92" t="s">
        <v>30</v>
      </c>
      <c r="C165" s="35" t="s">
        <v>278</v>
      </c>
      <c r="D165" s="17" t="s">
        <v>15</v>
      </c>
      <c r="E165" s="17" t="s">
        <v>79</v>
      </c>
      <c r="F165" s="18">
        <v>1970</v>
      </c>
      <c r="G165" s="18">
        <v>675</v>
      </c>
      <c r="H165" s="18">
        <v>478</v>
      </c>
      <c r="I165" s="18">
        <v>9850</v>
      </c>
      <c r="J165" s="18">
        <f t="shared" si="4"/>
        <v>2645.0485279187819</v>
      </c>
      <c r="K165" s="18">
        <f t="shared" si="5"/>
        <v>3123</v>
      </c>
      <c r="L165" s="18">
        <v>8924</v>
      </c>
      <c r="M165" s="18">
        <v>117</v>
      </c>
      <c r="N165" s="19" t="s">
        <v>59</v>
      </c>
      <c r="O165" s="20"/>
      <c r="P165" s="20"/>
      <c r="Q165" s="20"/>
      <c r="R165" s="20"/>
      <c r="S165" s="22"/>
      <c r="T165" s="20" t="str">
        <f>IF(AND(C165&gt;='Campaign Metadata'!B$2,Posts!C165&lt;='Campaign Metadata'!C$2),"During","Before/After")</f>
        <v>Before/After</v>
      </c>
      <c r="U165" s="20" t="str">
        <f>IF(AND(C165&gt;='Campaign Metadata'!B$3,Posts!C165&lt;='Campaign Metadata'!C$3),"During","Before/After")</f>
        <v>Before/After</v>
      </c>
      <c r="V165" s="20" t="str">
        <f>IF(AND(C165&gt;='Campaign Metadata'!B$4,Posts!C165&lt;='Campaign Metadata'!C$4),"During","Before/After")</f>
        <v>Before/After</v>
      </c>
      <c r="W165" s="50" t="str">
        <f>IF(AND(C165&gt;='Campaign Metadata'!B$5,Posts!C165&lt;='Campaign Metadata'!C$5),"During","Before/After")</f>
        <v>Before/After</v>
      </c>
    </row>
    <row r="166" spans="1:23" x14ac:dyDescent="0.25">
      <c r="A166" s="49" t="s">
        <v>231</v>
      </c>
      <c r="B166" s="92" t="s">
        <v>30</v>
      </c>
      <c r="C166" s="35" t="s">
        <v>199</v>
      </c>
      <c r="D166" s="17" t="s">
        <v>49</v>
      </c>
      <c r="E166" s="17" t="s">
        <v>209</v>
      </c>
      <c r="F166" s="18">
        <v>2647</v>
      </c>
      <c r="G166" s="18">
        <v>304</v>
      </c>
      <c r="H166" s="18">
        <v>170</v>
      </c>
      <c r="I166" s="18">
        <v>18529</v>
      </c>
      <c r="J166" s="18">
        <f t="shared" si="4"/>
        <v>2951.009174807059</v>
      </c>
      <c r="K166" s="18">
        <f t="shared" si="5"/>
        <v>3121</v>
      </c>
      <c r="L166" s="18">
        <v>17841</v>
      </c>
      <c r="M166" s="18">
        <v>46</v>
      </c>
      <c r="N166" s="19" t="s">
        <v>59</v>
      </c>
      <c r="O166" s="20"/>
      <c r="P166" s="20"/>
      <c r="Q166" s="20"/>
      <c r="R166" s="20"/>
      <c r="S166" s="22" t="s">
        <v>28</v>
      </c>
      <c r="T166" s="20" t="str">
        <f>IF(AND(C166&gt;='Campaign Metadata'!B$2,Posts!C166&lt;='Campaign Metadata'!C$2),"During","Before/After")</f>
        <v>Before/After</v>
      </c>
      <c r="U166" s="20" t="str">
        <f>IF(AND(C166&gt;='Campaign Metadata'!B$3,Posts!C166&lt;='Campaign Metadata'!C$3),"During","Before/After")</f>
        <v>Before/After</v>
      </c>
      <c r="V166" s="20" t="str">
        <f>IF(AND(C166&gt;='Campaign Metadata'!B$4,Posts!C166&lt;='Campaign Metadata'!C$4),"During","Before/After")</f>
        <v>Before/After</v>
      </c>
      <c r="W166" s="50" t="str">
        <f>IF(AND(C166&gt;='Campaign Metadata'!B$5,Posts!C166&lt;='Campaign Metadata'!C$5),"During","Before/After")</f>
        <v>Before/After</v>
      </c>
    </row>
    <row r="167" spans="1:23" x14ac:dyDescent="0.25">
      <c r="A167" s="49" t="s">
        <v>305</v>
      </c>
      <c r="B167" s="92" t="s">
        <v>24</v>
      </c>
      <c r="C167" s="35" t="s">
        <v>306</v>
      </c>
      <c r="D167" s="17" t="s">
        <v>20</v>
      </c>
      <c r="E167" s="17" t="s">
        <v>100</v>
      </c>
      <c r="F167" s="18">
        <v>2746</v>
      </c>
      <c r="G167" s="18">
        <v>156</v>
      </c>
      <c r="H167" s="18">
        <v>203</v>
      </c>
      <c r="I167" s="18">
        <v>32952</v>
      </c>
      <c r="J167" s="18">
        <f t="shared" si="4"/>
        <v>2902.0061604758434</v>
      </c>
      <c r="K167" s="18">
        <f t="shared" si="5"/>
        <v>3105</v>
      </c>
      <c r="L167" s="18">
        <v>32147</v>
      </c>
      <c r="M167" s="18">
        <v>147</v>
      </c>
      <c r="N167" s="19" t="s">
        <v>34</v>
      </c>
      <c r="O167" s="20"/>
      <c r="P167" s="20"/>
      <c r="Q167" s="20"/>
      <c r="R167" s="20"/>
      <c r="S167" s="21" t="s">
        <v>17</v>
      </c>
      <c r="T167" s="20" t="str">
        <f>IF(AND(C167&gt;='Campaign Metadata'!B$2,Posts!C167&lt;='Campaign Metadata'!C$2),"During","Before/After")</f>
        <v>Before/After</v>
      </c>
      <c r="U167" s="20" t="str">
        <f>IF(AND(C167&gt;='Campaign Metadata'!B$3,Posts!C167&lt;='Campaign Metadata'!C$3),"During","Before/After")</f>
        <v>Before/After</v>
      </c>
      <c r="V167" s="20" t="str">
        <f>IF(AND(C167&gt;='Campaign Metadata'!B$4,Posts!C167&lt;='Campaign Metadata'!C$4),"During","Before/After")</f>
        <v>During</v>
      </c>
      <c r="W167" s="50" t="str">
        <f>IF(AND(C167&gt;='Campaign Metadata'!B$5,Posts!C167&lt;='Campaign Metadata'!C$5),"During","Before/After")</f>
        <v>Before/After</v>
      </c>
    </row>
    <row r="168" spans="1:23" x14ac:dyDescent="0.25">
      <c r="A168" s="49" t="s">
        <v>204</v>
      </c>
      <c r="B168" s="92" t="s">
        <v>30</v>
      </c>
      <c r="C168" s="35" t="s">
        <v>152</v>
      </c>
      <c r="D168" s="17" t="s">
        <v>32</v>
      </c>
      <c r="E168" s="17" t="s">
        <v>33</v>
      </c>
      <c r="F168" s="18">
        <v>2103</v>
      </c>
      <c r="G168" s="18">
        <v>892</v>
      </c>
      <c r="H168" s="18">
        <v>103</v>
      </c>
      <c r="I168" s="18">
        <v>39957</v>
      </c>
      <c r="J168" s="18">
        <f t="shared" si="4"/>
        <v>2995.0025777711039</v>
      </c>
      <c r="K168" s="18">
        <f t="shared" si="5"/>
        <v>3098</v>
      </c>
      <c r="L168" s="18">
        <v>39466</v>
      </c>
      <c r="M168" s="18">
        <v>28</v>
      </c>
      <c r="N168" s="19" t="s">
        <v>59</v>
      </c>
      <c r="O168" s="20"/>
      <c r="P168" s="20"/>
      <c r="Q168" s="20"/>
      <c r="R168" s="20"/>
      <c r="S168" s="22"/>
      <c r="T168" s="20" t="str">
        <f>IF(AND(C168&gt;='Campaign Metadata'!B$2,Posts!C168&lt;='Campaign Metadata'!C$2),"During","Before/After")</f>
        <v>Before/After</v>
      </c>
      <c r="U168" s="20" t="str">
        <f>IF(AND(C168&gt;='Campaign Metadata'!B$3,Posts!C168&lt;='Campaign Metadata'!C$3),"During","Before/After")</f>
        <v>Before/After</v>
      </c>
      <c r="V168" s="20" t="str">
        <f>IF(AND(C168&gt;='Campaign Metadata'!B$4,Posts!C168&lt;='Campaign Metadata'!C$4),"During","Before/After")</f>
        <v>Before/After</v>
      </c>
      <c r="W168" s="50" t="str">
        <f>IF(AND(C168&gt;='Campaign Metadata'!B$5,Posts!C168&lt;='Campaign Metadata'!C$5),"During","Before/After")</f>
        <v>Before/After</v>
      </c>
    </row>
    <row r="169" spans="1:23" x14ac:dyDescent="0.25">
      <c r="A169" s="49" t="s">
        <v>264</v>
      </c>
      <c r="B169" s="92" t="s">
        <v>13</v>
      </c>
      <c r="C169" s="35" t="s">
        <v>265</v>
      </c>
      <c r="D169" s="17" t="s">
        <v>32</v>
      </c>
      <c r="E169" s="17" t="s">
        <v>145</v>
      </c>
      <c r="F169" s="18">
        <v>1957</v>
      </c>
      <c r="G169" s="18">
        <v>877</v>
      </c>
      <c r="H169" s="18">
        <v>238</v>
      </c>
      <c r="I169" s="18">
        <v>17613</v>
      </c>
      <c r="J169" s="18">
        <f t="shared" si="4"/>
        <v>2834.0135127462668</v>
      </c>
      <c r="K169" s="18">
        <f t="shared" si="5"/>
        <v>3072</v>
      </c>
      <c r="L169" s="18">
        <v>16865</v>
      </c>
      <c r="M169" s="18">
        <v>297</v>
      </c>
      <c r="N169" s="19" t="s">
        <v>59</v>
      </c>
      <c r="O169" s="20"/>
      <c r="P169" s="20"/>
      <c r="Q169" s="20"/>
      <c r="R169" s="20"/>
      <c r="S169" s="22" t="s">
        <v>28</v>
      </c>
      <c r="T169" s="20" t="str">
        <f>IF(AND(C169&gt;='Campaign Metadata'!B$2,Posts!C169&lt;='Campaign Metadata'!C$2),"During","Before/After")</f>
        <v>Before/After</v>
      </c>
      <c r="U169" s="20" t="str">
        <f>IF(AND(C169&gt;='Campaign Metadata'!B$3,Posts!C169&lt;='Campaign Metadata'!C$3),"During","Before/After")</f>
        <v>Before/After</v>
      </c>
      <c r="V169" s="20" t="str">
        <f>IF(AND(C169&gt;='Campaign Metadata'!B$4,Posts!C169&lt;='Campaign Metadata'!C$4),"During","Before/After")</f>
        <v>During</v>
      </c>
      <c r="W169" s="50" t="str">
        <f>IF(AND(C169&gt;='Campaign Metadata'!B$5,Posts!C169&lt;='Campaign Metadata'!C$5),"During","Before/After")</f>
        <v>Before/After</v>
      </c>
    </row>
    <row r="170" spans="1:23" x14ac:dyDescent="0.25">
      <c r="A170" s="49" t="s">
        <v>156</v>
      </c>
      <c r="B170" s="92" t="s">
        <v>24</v>
      </c>
      <c r="C170" s="35" t="s">
        <v>157</v>
      </c>
      <c r="D170" s="17" t="s">
        <v>42</v>
      </c>
      <c r="E170" s="17" t="s">
        <v>65</v>
      </c>
      <c r="F170" s="18">
        <v>1686</v>
      </c>
      <c r="G170" s="18">
        <v>904</v>
      </c>
      <c r="H170" s="18">
        <v>472</v>
      </c>
      <c r="I170" s="18">
        <v>18546</v>
      </c>
      <c r="J170" s="18">
        <f t="shared" si="4"/>
        <v>2590.0254502318558</v>
      </c>
      <c r="K170" s="18">
        <f t="shared" si="5"/>
        <v>3062</v>
      </c>
      <c r="L170" s="18">
        <v>18171</v>
      </c>
      <c r="M170" s="18">
        <v>52</v>
      </c>
      <c r="N170" s="19" t="s">
        <v>59</v>
      </c>
      <c r="O170" s="20"/>
      <c r="P170" s="20"/>
      <c r="Q170" s="20"/>
      <c r="R170" s="20"/>
      <c r="S170" s="22" t="s">
        <v>22</v>
      </c>
      <c r="T170" s="20" t="str">
        <f>IF(AND(C170&gt;='Campaign Metadata'!B$2,Posts!C170&lt;='Campaign Metadata'!C$2),"During","Before/After")</f>
        <v>Before/After</v>
      </c>
      <c r="U170" s="20" t="str">
        <f>IF(AND(C170&gt;='Campaign Metadata'!B$3,Posts!C170&lt;='Campaign Metadata'!C$3),"During","Before/After")</f>
        <v>During</v>
      </c>
      <c r="V170" s="20" t="str">
        <f>IF(AND(C170&gt;='Campaign Metadata'!B$4,Posts!C170&lt;='Campaign Metadata'!C$4),"During","Before/After")</f>
        <v>Before/After</v>
      </c>
      <c r="W170" s="50" t="str">
        <f>IF(AND(C170&gt;='Campaign Metadata'!B$5,Posts!C170&lt;='Campaign Metadata'!C$5),"During","Before/After")</f>
        <v>Before/After</v>
      </c>
    </row>
    <row r="171" spans="1:23" x14ac:dyDescent="0.25">
      <c r="A171" s="49" t="s">
        <v>213</v>
      </c>
      <c r="B171" s="92" t="s">
        <v>40</v>
      </c>
      <c r="C171" s="35" t="s">
        <v>214</v>
      </c>
      <c r="D171" s="17" t="s">
        <v>49</v>
      </c>
      <c r="E171" s="17" t="s">
        <v>56</v>
      </c>
      <c r="F171" s="18">
        <v>1841</v>
      </c>
      <c r="G171" s="18">
        <v>851</v>
      </c>
      <c r="H171" s="18">
        <v>342</v>
      </c>
      <c r="I171" s="18">
        <v>34979</v>
      </c>
      <c r="J171" s="18">
        <f t="shared" si="4"/>
        <v>2692.0097772949484</v>
      </c>
      <c r="K171" s="18">
        <f t="shared" si="5"/>
        <v>3034</v>
      </c>
      <c r="L171" s="18">
        <v>34154</v>
      </c>
      <c r="M171" s="18">
        <v>255</v>
      </c>
      <c r="N171" s="19" t="s">
        <v>59</v>
      </c>
      <c r="O171" s="20"/>
      <c r="P171" s="20"/>
      <c r="Q171" s="20"/>
      <c r="R171" s="20"/>
      <c r="S171" s="22" t="s">
        <v>35</v>
      </c>
      <c r="T171" s="20" t="str">
        <f>IF(AND(C171&gt;='Campaign Metadata'!B$2,Posts!C171&lt;='Campaign Metadata'!C$2),"During","Before/After")</f>
        <v>Before/After</v>
      </c>
      <c r="U171" s="20" t="str">
        <f>IF(AND(C171&gt;='Campaign Metadata'!B$3,Posts!C171&lt;='Campaign Metadata'!C$3),"During","Before/After")</f>
        <v>Before/After</v>
      </c>
      <c r="V171" s="20" t="str">
        <f>IF(AND(C171&gt;='Campaign Metadata'!B$4,Posts!C171&lt;='Campaign Metadata'!C$4),"During","Before/After")</f>
        <v>Before/After</v>
      </c>
      <c r="W171" s="50" t="str">
        <f>IF(AND(C171&gt;='Campaign Metadata'!B$5,Posts!C171&lt;='Campaign Metadata'!C$5),"During","Before/After")</f>
        <v>Before/After</v>
      </c>
    </row>
    <row r="172" spans="1:23" x14ac:dyDescent="0.25">
      <c r="A172" s="49" t="s">
        <v>183</v>
      </c>
      <c r="B172" s="92" t="s">
        <v>30</v>
      </c>
      <c r="C172" s="35" t="s">
        <v>184</v>
      </c>
      <c r="D172" s="17" t="s">
        <v>32</v>
      </c>
      <c r="E172" s="17" t="s">
        <v>33</v>
      </c>
      <c r="F172" s="18">
        <v>2610</v>
      </c>
      <c r="G172" s="18">
        <v>126</v>
      </c>
      <c r="H172" s="18">
        <v>288</v>
      </c>
      <c r="I172" s="18">
        <v>15660</v>
      </c>
      <c r="J172" s="18">
        <f t="shared" si="4"/>
        <v>2736.0183908045979</v>
      </c>
      <c r="K172" s="18">
        <f t="shared" si="5"/>
        <v>3024</v>
      </c>
      <c r="L172" s="18">
        <v>15145</v>
      </c>
      <c r="M172" s="18">
        <v>73</v>
      </c>
      <c r="N172" s="19" t="s">
        <v>34</v>
      </c>
      <c r="O172" s="20"/>
      <c r="P172" s="20"/>
      <c r="Q172" s="20"/>
      <c r="R172" s="20"/>
      <c r="S172" s="22"/>
      <c r="T172" s="20" t="str">
        <f>IF(AND(C172&gt;='Campaign Metadata'!B$2,Posts!C172&lt;='Campaign Metadata'!C$2),"During","Before/After")</f>
        <v>Before/After</v>
      </c>
      <c r="U172" s="20" t="str">
        <f>IF(AND(C172&gt;='Campaign Metadata'!B$3,Posts!C172&lt;='Campaign Metadata'!C$3),"During","Before/After")</f>
        <v>Before/After</v>
      </c>
      <c r="V172" s="20" t="str">
        <f>IF(AND(C172&gt;='Campaign Metadata'!B$4,Posts!C172&lt;='Campaign Metadata'!C$4),"During","Before/After")</f>
        <v>Before/After</v>
      </c>
      <c r="W172" s="50" t="str">
        <f>IF(AND(C172&gt;='Campaign Metadata'!B$5,Posts!C172&lt;='Campaign Metadata'!C$5),"During","Before/After")</f>
        <v>Before/After</v>
      </c>
    </row>
    <row r="173" spans="1:23" x14ac:dyDescent="0.25">
      <c r="A173" s="49" t="s">
        <v>262</v>
      </c>
      <c r="B173" s="92" t="s">
        <v>24</v>
      </c>
      <c r="C173" s="35" t="s">
        <v>263</v>
      </c>
      <c r="D173" s="17" t="s">
        <v>49</v>
      </c>
      <c r="E173" s="17" t="s">
        <v>50</v>
      </c>
      <c r="F173" s="18">
        <v>2719</v>
      </c>
      <c r="G173" s="18">
        <v>17</v>
      </c>
      <c r="H173" s="18">
        <v>285</v>
      </c>
      <c r="I173" s="18">
        <v>40785</v>
      </c>
      <c r="J173" s="18">
        <f t="shared" si="4"/>
        <v>2736.0069878631848</v>
      </c>
      <c r="K173" s="18">
        <f t="shared" si="5"/>
        <v>3021</v>
      </c>
      <c r="L173" s="18">
        <v>40281</v>
      </c>
      <c r="M173" s="18">
        <v>40</v>
      </c>
      <c r="N173" s="19" t="s">
        <v>27</v>
      </c>
      <c r="O173" s="20"/>
      <c r="P173" s="20"/>
      <c r="Q173" s="20"/>
      <c r="R173" s="20"/>
      <c r="S173" s="22" t="s">
        <v>22</v>
      </c>
      <c r="T173" s="20" t="str">
        <f>IF(AND(C173&gt;='Campaign Metadata'!B$2,Posts!C173&lt;='Campaign Metadata'!C$2),"During","Before/After")</f>
        <v>Before/After</v>
      </c>
      <c r="U173" s="20" t="str">
        <f>IF(AND(C173&gt;='Campaign Metadata'!B$3,Posts!C173&lt;='Campaign Metadata'!C$3),"During","Before/After")</f>
        <v>Before/After</v>
      </c>
      <c r="V173" s="20" t="str">
        <f>IF(AND(C173&gt;='Campaign Metadata'!B$4,Posts!C173&lt;='Campaign Metadata'!C$4),"During","Before/After")</f>
        <v>Before/After</v>
      </c>
      <c r="W173" s="50" t="str">
        <f>IF(AND(C173&gt;='Campaign Metadata'!B$5,Posts!C173&lt;='Campaign Metadata'!C$5),"During","Before/After")</f>
        <v>Before/After</v>
      </c>
    </row>
    <row r="174" spans="1:23" x14ac:dyDescent="0.25">
      <c r="A174" s="49" t="s">
        <v>60</v>
      </c>
      <c r="B174" s="92" t="s">
        <v>40</v>
      </c>
      <c r="C174" s="35" t="s">
        <v>61</v>
      </c>
      <c r="D174" s="17" t="s">
        <v>15</v>
      </c>
      <c r="E174" s="17" t="s">
        <v>62</v>
      </c>
      <c r="F174" s="18">
        <v>1946</v>
      </c>
      <c r="G174" s="18">
        <v>686</v>
      </c>
      <c r="H174" s="18">
        <v>377</v>
      </c>
      <c r="I174" s="18">
        <v>23352</v>
      </c>
      <c r="J174" s="18">
        <f t="shared" si="4"/>
        <v>2632.0161442274753</v>
      </c>
      <c r="K174" s="18">
        <f t="shared" si="5"/>
        <v>3009</v>
      </c>
      <c r="L174" s="18">
        <v>22982</v>
      </c>
      <c r="M174" s="18">
        <v>213</v>
      </c>
      <c r="N174" s="19" t="s">
        <v>59</v>
      </c>
      <c r="O174" s="20"/>
      <c r="P174" s="20"/>
      <c r="Q174" s="20"/>
      <c r="R174" s="20"/>
      <c r="S174" s="22" t="s">
        <v>28</v>
      </c>
      <c r="T174" s="20" t="str">
        <f>IF(AND(C174&gt;='Campaign Metadata'!B$2,Posts!C174&lt;='Campaign Metadata'!C$2),"During","Before/After")</f>
        <v>Before/After</v>
      </c>
      <c r="U174" s="20" t="str">
        <f>IF(AND(C174&gt;='Campaign Metadata'!B$3,Posts!C174&lt;='Campaign Metadata'!C$3),"During","Before/After")</f>
        <v>Before/After</v>
      </c>
      <c r="V174" s="20" t="str">
        <f>IF(AND(C174&gt;='Campaign Metadata'!B$4,Posts!C174&lt;='Campaign Metadata'!C$4),"During","Before/After")</f>
        <v>Before/After</v>
      </c>
      <c r="W174" s="50" t="str">
        <f>IF(AND(C174&gt;='Campaign Metadata'!B$5,Posts!C174&lt;='Campaign Metadata'!C$5),"During","Before/After")</f>
        <v>Before/After</v>
      </c>
    </row>
    <row r="175" spans="1:23" x14ac:dyDescent="0.25">
      <c r="A175" s="49" t="s">
        <v>535</v>
      </c>
      <c r="B175" s="92" t="s">
        <v>30</v>
      </c>
      <c r="C175" s="35" t="s">
        <v>536</v>
      </c>
      <c r="D175" s="17" t="s">
        <v>42</v>
      </c>
      <c r="E175" s="17" t="s">
        <v>85</v>
      </c>
      <c r="F175" s="18">
        <v>2107</v>
      </c>
      <c r="G175" s="18">
        <v>550</v>
      </c>
      <c r="H175" s="18">
        <v>349</v>
      </c>
      <c r="I175" s="18">
        <v>35819</v>
      </c>
      <c r="J175" s="18">
        <f t="shared" si="4"/>
        <v>2657.0097434322565</v>
      </c>
      <c r="K175" s="18">
        <f t="shared" si="5"/>
        <v>3006</v>
      </c>
      <c r="L175" s="18">
        <v>35340</v>
      </c>
      <c r="M175" s="18">
        <v>191</v>
      </c>
      <c r="N175" s="19" t="s">
        <v>34</v>
      </c>
      <c r="O175" s="20"/>
      <c r="P175" s="20"/>
      <c r="Q175" s="20"/>
      <c r="R175" s="20"/>
      <c r="S175" s="22" t="s">
        <v>35</v>
      </c>
      <c r="T175" s="20" t="str">
        <f>IF(AND(C175&gt;='Campaign Metadata'!B$2,Posts!C175&lt;='Campaign Metadata'!C$2),"During","Before/After")</f>
        <v>Before/After</v>
      </c>
      <c r="U175" s="20" t="str">
        <f>IF(AND(C175&gt;='Campaign Metadata'!B$3,Posts!C175&lt;='Campaign Metadata'!C$3),"During","Before/After")</f>
        <v>Before/After</v>
      </c>
      <c r="V175" s="20" t="str">
        <f>IF(AND(C175&gt;='Campaign Metadata'!B$4,Posts!C175&lt;='Campaign Metadata'!C$4),"During","Before/After")</f>
        <v>Before/After</v>
      </c>
      <c r="W175" s="50" t="str">
        <f>IF(AND(C175&gt;='Campaign Metadata'!B$5,Posts!C175&lt;='Campaign Metadata'!C$5),"During","Before/After")</f>
        <v>Before/After</v>
      </c>
    </row>
    <row r="176" spans="1:23" x14ac:dyDescent="0.25">
      <c r="A176" s="49" t="s">
        <v>401</v>
      </c>
      <c r="B176" s="92" t="s">
        <v>24</v>
      </c>
      <c r="C176" s="35" t="s">
        <v>117</v>
      </c>
      <c r="D176" s="17" t="s">
        <v>42</v>
      </c>
      <c r="E176" s="17" t="s">
        <v>65</v>
      </c>
      <c r="F176" s="18">
        <v>2509</v>
      </c>
      <c r="G176" s="18">
        <v>324</v>
      </c>
      <c r="H176" s="18">
        <v>171</v>
      </c>
      <c r="I176" s="18">
        <v>35126</v>
      </c>
      <c r="J176" s="18">
        <f t="shared" si="4"/>
        <v>2833.0048681888061</v>
      </c>
      <c r="K176" s="18">
        <f t="shared" si="5"/>
        <v>3004</v>
      </c>
      <c r="L176" s="18">
        <v>34685</v>
      </c>
      <c r="M176" s="18">
        <v>277</v>
      </c>
      <c r="N176" s="19" t="s">
        <v>27</v>
      </c>
      <c r="O176" s="20"/>
      <c r="P176" s="20"/>
      <c r="Q176" s="20"/>
      <c r="R176" s="20"/>
      <c r="S176" s="22" t="s">
        <v>22</v>
      </c>
      <c r="T176" s="20" t="str">
        <f>IF(AND(C176&gt;='Campaign Metadata'!B$2,Posts!C176&lt;='Campaign Metadata'!C$2),"During","Before/After")</f>
        <v>Before/After</v>
      </c>
      <c r="U176" s="20" t="str">
        <f>IF(AND(C176&gt;='Campaign Metadata'!B$3,Posts!C176&lt;='Campaign Metadata'!C$3),"During","Before/After")</f>
        <v>Before/After</v>
      </c>
      <c r="V176" s="20" t="str">
        <f>IF(AND(C176&gt;='Campaign Metadata'!B$4,Posts!C176&lt;='Campaign Metadata'!C$4),"During","Before/After")</f>
        <v>Before/After</v>
      </c>
      <c r="W176" s="50" t="str">
        <f>IF(AND(C176&gt;='Campaign Metadata'!B$5,Posts!C176&lt;='Campaign Metadata'!C$5),"During","Before/After")</f>
        <v>Before/After</v>
      </c>
    </row>
    <row r="177" spans="1:23" x14ac:dyDescent="0.25">
      <c r="A177" s="49" t="s">
        <v>146</v>
      </c>
      <c r="B177" s="92" t="s">
        <v>13</v>
      </c>
      <c r="C177" s="35" t="s">
        <v>147</v>
      </c>
      <c r="D177" s="17" t="s">
        <v>32</v>
      </c>
      <c r="E177" s="17" t="s">
        <v>145</v>
      </c>
      <c r="F177" s="18">
        <v>2164</v>
      </c>
      <c r="G177" s="18">
        <v>549</v>
      </c>
      <c r="H177" s="18">
        <v>274</v>
      </c>
      <c r="I177" s="18">
        <v>28132</v>
      </c>
      <c r="J177" s="18">
        <f t="shared" si="4"/>
        <v>2713.0097397980949</v>
      </c>
      <c r="K177" s="18">
        <f t="shared" si="5"/>
        <v>2987</v>
      </c>
      <c r="L177" s="18">
        <v>27361</v>
      </c>
      <c r="M177" s="18">
        <v>177</v>
      </c>
      <c r="N177" s="19" t="s">
        <v>27</v>
      </c>
      <c r="O177" s="20"/>
      <c r="P177" s="20"/>
      <c r="Q177" s="20"/>
      <c r="R177" s="20"/>
      <c r="S177" s="22" t="s">
        <v>35</v>
      </c>
      <c r="T177" s="20" t="str">
        <f>IF(AND(C177&gt;='Campaign Metadata'!B$2,Posts!C177&lt;='Campaign Metadata'!C$2),"During","Before/After")</f>
        <v>Before/After</v>
      </c>
      <c r="U177" s="20" t="str">
        <f>IF(AND(C177&gt;='Campaign Metadata'!B$3,Posts!C177&lt;='Campaign Metadata'!C$3),"During","Before/After")</f>
        <v>Before/After</v>
      </c>
      <c r="V177" s="20" t="str">
        <f>IF(AND(C177&gt;='Campaign Metadata'!B$4,Posts!C177&lt;='Campaign Metadata'!C$4),"During","Before/After")</f>
        <v>Before/After</v>
      </c>
      <c r="W177" s="50" t="str">
        <f>IF(AND(C177&gt;='Campaign Metadata'!B$5,Posts!C177&lt;='Campaign Metadata'!C$5),"During","Before/After")</f>
        <v>Before/After</v>
      </c>
    </row>
    <row r="178" spans="1:23" x14ac:dyDescent="0.25">
      <c r="A178" s="49" t="s">
        <v>148</v>
      </c>
      <c r="B178" s="92" t="s">
        <v>24</v>
      </c>
      <c r="C178" s="35" t="s">
        <v>149</v>
      </c>
      <c r="D178" s="17" t="s">
        <v>32</v>
      </c>
      <c r="E178" s="17" t="s">
        <v>150</v>
      </c>
      <c r="F178" s="18">
        <v>2754</v>
      </c>
      <c r="G178" s="18">
        <v>130</v>
      </c>
      <c r="H178" s="18">
        <v>90</v>
      </c>
      <c r="I178" s="18">
        <v>22032</v>
      </c>
      <c r="J178" s="18">
        <f t="shared" si="4"/>
        <v>2884.0040849673201</v>
      </c>
      <c r="K178" s="18">
        <f t="shared" si="5"/>
        <v>2974</v>
      </c>
      <c r="L178" s="18">
        <v>21288</v>
      </c>
      <c r="M178" s="18">
        <v>112</v>
      </c>
      <c r="N178" s="19" t="s">
        <v>27</v>
      </c>
      <c r="O178" s="20"/>
      <c r="P178" s="20"/>
      <c r="Q178" s="20"/>
      <c r="R178" s="20"/>
      <c r="S178" s="22" t="s">
        <v>28</v>
      </c>
      <c r="T178" s="20" t="str">
        <f>IF(AND(C178&gt;='Campaign Metadata'!B$2,Posts!C178&lt;='Campaign Metadata'!C$2),"During","Before/After")</f>
        <v>During</v>
      </c>
      <c r="U178" s="20" t="str">
        <f>IF(AND(C178&gt;='Campaign Metadata'!B$3,Posts!C178&lt;='Campaign Metadata'!C$3),"During","Before/After")</f>
        <v>Before/After</v>
      </c>
      <c r="V178" s="20" t="str">
        <f>IF(AND(C178&gt;='Campaign Metadata'!B$4,Posts!C178&lt;='Campaign Metadata'!C$4),"During","Before/After")</f>
        <v>Before/After</v>
      </c>
      <c r="W178" s="50" t="str">
        <f>IF(AND(C178&gt;='Campaign Metadata'!B$5,Posts!C178&lt;='Campaign Metadata'!C$5),"During","Before/After")</f>
        <v>Before/After</v>
      </c>
    </row>
    <row r="179" spans="1:23" x14ac:dyDescent="0.25">
      <c r="A179" s="49" t="s">
        <v>290</v>
      </c>
      <c r="B179" s="92" t="s">
        <v>13</v>
      </c>
      <c r="C179" s="35" t="s">
        <v>61</v>
      </c>
      <c r="D179" s="17" t="s">
        <v>20</v>
      </c>
      <c r="E179" s="17" t="s">
        <v>21</v>
      </c>
      <c r="F179" s="18">
        <v>2147</v>
      </c>
      <c r="G179" s="18">
        <v>430</v>
      </c>
      <c r="H179" s="18">
        <v>393</v>
      </c>
      <c r="I179" s="18">
        <v>17176</v>
      </c>
      <c r="J179" s="18">
        <f t="shared" si="4"/>
        <v>2577.0228807638564</v>
      </c>
      <c r="K179" s="18">
        <f t="shared" si="5"/>
        <v>2970</v>
      </c>
      <c r="L179" s="18">
        <v>16483</v>
      </c>
      <c r="M179" s="18">
        <v>170</v>
      </c>
      <c r="N179" s="19" t="s">
        <v>27</v>
      </c>
      <c r="O179" s="20"/>
      <c r="P179" s="20"/>
      <c r="Q179" s="20"/>
      <c r="R179" s="20"/>
      <c r="S179" s="22"/>
      <c r="T179" s="20" t="str">
        <f>IF(AND(C179&gt;='Campaign Metadata'!B$2,Posts!C179&lt;='Campaign Metadata'!C$2),"During","Before/After")</f>
        <v>Before/After</v>
      </c>
      <c r="U179" s="20" t="str">
        <f>IF(AND(C179&gt;='Campaign Metadata'!B$3,Posts!C179&lt;='Campaign Metadata'!C$3),"During","Before/After")</f>
        <v>Before/After</v>
      </c>
      <c r="V179" s="20" t="str">
        <f>IF(AND(C179&gt;='Campaign Metadata'!B$4,Posts!C179&lt;='Campaign Metadata'!C$4),"During","Before/After")</f>
        <v>Before/After</v>
      </c>
      <c r="W179" s="50" t="str">
        <f>IF(AND(C179&gt;='Campaign Metadata'!B$5,Posts!C179&lt;='Campaign Metadata'!C$5),"During","Before/After")</f>
        <v>Before/After</v>
      </c>
    </row>
    <row r="180" spans="1:23" x14ac:dyDescent="0.25">
      <c r="A180" s="49" t="s">
        <v>23</v>
      </c>
      <c r="B180" s="92" t="s">
        <v>24</v>
      </c>
      <c r="C180" s="35" t="s">
        <v>25</v>
      </c>
      <c r="D180" s="17" t="s">
        <v>15</v>
      </c>
      <c r="E180" s="17" t="s">
        <v>26</v>
      </c>
      <c r="F180" s="18">
        <v>2795</v>
      </c>
      <c r="G180" s="18">
        <v>105</v>
      </c>
      <c r="H180" s="18">
        <v>49</v>
      </c>
      <c r="I180" s="18">
        <v>53105</v>
      </c>
      <c r="J180" s="18">
        <f t="shared" si="4"/>
        <v>2900.0009227003106</v>
      </c>
      <c r="K180" s="18">
        <f t="shared" si="5"/>
        <v>2949</v>
      </c>
      <c r="L180" s="18">
        <v>52307</v>
      </c>
      <c r="M180" s="18">
        <v>204</v>
      </c>
      <c r="N180" s="19" t="s">
        <v>27</v>
      </c>
      <c r="O180" s="20"/>
      <c r="P180" s="20"/>
      <c r="Q180" s="20"/>
      <c r="R180" s="20"/>
      <c r="S180" s="22" t="s">
        <v>28</v>
      </c>
      <c r="T180" s="20" t="str">
        <f>IF(AND(C180&gt;='Campaign Metadata'!B$2,Posts!C180&lt;='Campaign Metadata'!C$2),"During","Before/After")</f>
        <v>Before/After</v>
      </c>
      <c r="U180" s="20" t="str">
        <f>IF(AND(C180&gt;='Campaign Metadata'!B$3,Posts!C180&lt;='Campaign Metadata'!C$3),"During","Before/After")</f>
        <v>Before/After</v>
      </c>
      <c r="V180" s="20" t="str">
        <f>IF(AND(C180&gt;='Campaign Metadata'!B$4,Posts!C180&lt;='Campaign Metadata'!C$4),"During","Before/After")</f>
        <v>Before/After</v>
      </c>
      <c r="W180" s="50" t="str">
        <f>IF(AND(C180&gt;='Campaign Metadata'!B$5,Posts!C180&lt;='Campaign Metadata'!C$5),"During","Before/After")</f>
        <v>Before/After</v>
      </c>
    </row>
    <row r="181" spans="1:23" x14ac:dyDescent="0.25">
      <c r="A181" s="49" t="s">
        <v>151</v>
      </c>
      <c r="B181" s="92" t="s">
        <v>40</v>
      </c>
      <c r="C181" s="35" t="s">
        <v>152</v>
      </c>
      <c r="D181" s="17" t="s">
        <v>42</v>
      </c>
      <c r="E181" s="17" t="s">
        <v>43</v>
      </c>
      <c r="F181" s="18">
        <v>2200</v>
      </c>
      <c r="G181" s="18">
        <v>504</v>
      </c>
      <c r="H181" s="18">
        <v>239</v>
      </c>
      <c r="I181" s="18">
        <v>37400</v>
      </c>
      <c r="J181" s="18">
        <f t="shared" si="4"/>
        <v>2704.0063903743317</v>
      </c>
      <c r="K181" s="18">
        <f t="shared" si="5"/>
        <v>2943</v>
      </c>
      <c r="L181" s="18">
        <v>36938</v>
      </c>
      <c r="M181" s="18">
        <v>225</v>
      </c>
      <c r="N181" s="19" t="s">
        <v>59</v>
      </c>
      <c r="O181" s="20"/>
      <c r="P181" s="20"/>
      <c r="Q181" s="20"/>
      <c r="R181" s="20"/>
      <c r="S181" s="22" t="s">
        <v>22</v>
      </c>
      <c r="T181" s="20" t="str">
        <f>IF(AND(C181&gt;='Campaign Metadata'!B$2,Posts!C181&lt;='Campaign Metadata'!C$2),"During","Before/After")</f>
        <v>Before/After</v>
      </c>
      <c r="U181" s="20" t="str">
        <f>IF(AND(C181&gt;='Campaign Metadata'!B$3,Posts!C181&lt;='Campaign Metadata'!C$3),"During","Before/After")</f>
        <v>Before/After</v>
      </c>
      <c r="V181" s="20" t="str">
        <f>IF(AND(C181&gt;='Campaign Metadata'!B$4,Posts!C181&lt;='Campaign Metadata'!C$4),"During","Before/After")</f>
        <v>Before/After</v>
      </c>
      <c r="W181" s="50" t="str">
        <f>IF(AND(C181&gt;='Campaign Metadata'!B$5,Posts!C181&lt;='Campaign Metadata'!C$5),"During","Before/After")</f>
        <v>Before/After</v>
      </c>
    </row>
    <row r="182" spans="1:23" x14ac:dyDescent="0.25">
      <c r="A182" s="49" t="s">
        <v>513</v>
      </c>
      <c r="B182" s="92" t="s">
        <v>40</v>
      </c>
      <c r="C182" s="35" t="s">
        <v>487</v>
      </c>
      <c r="D182" s="17" t="s">
        <v>15</v>
      </c>
      <c r="E182" s="17" t="s">
        <v>62</v>
      </c>
      <c r="F182" s="18">
        <v>1741</v>
      </c>
      <c r="G182" s="18">
        <v>831</v>
      </c>
      <c r="H182" s="18">
        <v>345</v>
      </c>
      <c r="I182" s="18">
        <v>17410</v>
      </c>
      <c r="J182" s="18">
        <f t="shared" si="4"/>
        <v>2572.0198161975877</v>
      </c>
      <c r="K182" s="18">
        <f t="shared" si="5"/>
        <v>2917</v>
      </c>
      <c r="L182" s="18">
        <v>16844</v>
      </c>
      <c r="M182" s="18">
        <v>58</v>
      </c>
      <c r="N182" s="19" t="s">
        <v>34</v>
      </c>
      <c r="O182" s="20"/>
      <c r="P182" s="20"/>
      <c r="Q182" s="20"/>
      <c r="R182" s="20"/>
      <c r="S182" s="22" t="s">
        <v>28</v>
      </c>
      <c r="T182" s="20" t="str">
        <f>IF(AND(C182&gt;='Campaign Metadata'!B$2,Posts!C182&lt;='Campaign Metadata'!C$2),"During","Before/After")</f>
        <v>Before/After</v>
      </c>
      <c r="U182" s="20" t="str">
        <f>IF(AND(C182&gt;='Campaign Metadata'!B$3,Posts!C182&lt;='Campaign Metadata'!C$3),"During","Before/After")</f>
        <v>Before/After</v>
      </c>
      <c r="V182" s="20" t="str">
        <f>IF(AND(C182&gt;='Campaign Metadata'!B$4,Posts!C182&lt;='Campaign Metadata'!C$4),"During","Before/After")</f>
        <v>Before/After</v>
      </c>
      <c r="W182" s="50" t="str">
        <f>IF(AND(C182&gt;='Campaign Metadata'!B$5,Posts!C182&lt;='Campaign Metadata'!C$5),"During","Before/After")</f>
        <v>Before/After</v>
      </c>
    </row>
    <row r="183" spans="1:23" x14ac:dyDescent="0.25">
      <c r="A183" s="49" t="s">
        <v>29</v>
      </c>
      <c r="B183" s="92" t="s">
        <v>30</v>
      </c>
      <c r="C183" s="35" t="s">
        <v>31</v>
      </c>
      <c r="D183" s="17" t="s">
        <v>32</v>
      </c>
      <c r="E183" s="17" t="s">
        <v>33</v>
      </c>
      <c r="F183" s="18">
        <v>2404</v>
      </c>
      <c r="G183" s="18">
        <v>363</v>
      </c>
      <c r="H183" s="18">
        <v>138</v>
      </c>
      <c r="I183" s="18">
        <v>19232</v>
      </c>
      <c r="J183" s="18">
        <f t="shared" si="4"/>
        <v>2767.0071755407653</v>
      </c>
      <c r="K183" s="18">
        <f t="shared" si="5"/>
        <v>2905</v>
      </c>
      <c r="L183" s="18">
        <v>18636</v>
      </c>
      <c r="M183" s="18">
        <v>128</v>
      </c>
      <c r="N183" s="19" t="s">
        <v>34</v>
      </c>
      <c r="O183" s="20"/>
      <c r="P183" s="20"/>
      <c r="Q183" s="20"/>
      <c r="R183" s="20"/>
      <c r="S183" s="22" t="s">
        <v>35</v>
      </c>
      <c r="T183" s="20" t="str">
        <f>IF(AND(C183&gt;='Campaign Metadata'!B$2,Posts!C183&lt;='Campaign Metadata'!C$2),"During","Before/After")</f>
        <v>Before/After</v>
      </c>
      <c r="U183" s="20" t="str">
        <f>IF(AND(C183&gt;='Campaign Metadata'!B$3,Posts!C183&lt;='Campaign Metadata'!C$3),"During","Before/After")</f>
        <v>Before/After</v>
      </c>
      <c r="V183" s="20" t="str">
        <f>IF(AND(C183&gt;='Campaign Metadata'!B$4,Posts!C183&lt;='Campaign Metadata'!C$4),"During","Before/After")</f>
        <v>Before/After</v>
      </c>
      <c r="W183" s="50" t="str">
        <f>IF(AND(C183&gt;='Campaign Metadata'!B$5,Posts!C183&lt;='Campaign Metadata'!C$5),"During","Before/After")</f>
        <v>Before/After</v>
      </c>
    </row>
    <row r="184" spans="1:23" x14ac:dyDescent="0.25">
      <c r="A184" s="49" t="s">
        <v>57</v>
      </c>
      <c r="B184" s="92" t="s">
        <v>30</v>
      </c>
      <c r="C184" s="35" t="s">
        <v>58</v>
      </c>
      <c r="D184" s="17" t="s">
        <v>32</v>
      </c>
      <c r="E184" s="17" t="s">
        <v>33</v>
      </c>
      <c r="F184" s="18">
        <v>1792</v>
      </c>
      <c r="G184" s="18">
        <v>614</v>
      </c>
      <c r="H184" s="18">
        <v>497</v>
      </c>
      <c r="I184" s="18">
        <v>25088</v>
      </c>
      <c r="J184" s="18">
        <f t="shared" si="4"/>
        <v>2406.0198102678573</v>
      </c>
      <c r="K184" s="18">
        <f t="shared" si="5"/>
        <v>2903</v>
      </c>
      <c r="L184" s="18">
        <v>24675</v>
      </c>
      <c r="M184" s="18">
        <v>65</v>
      </c>
      <c r="N184" s="19" t="s">
        <v>59</v>
      </c>
      <c r="O184" s="20"/>
      <c r="P184" s="20"/>
      <c r="Q184" s="20"/>
      <c r="R184" s="20"/>
      <c r="S184" s="22" t="s">
        <v>35</v>
      </c>
      <c r="T184" s="20" t="str">
        <f>IF(AND(C184&gt;='Campaign Metadata'!B$2,Posts!C184&lt;='Campaign Metadata'!C$2),"During","Before/After")</f>
        <v>Before/After</v>
      </c>
      <c r="U184" s="20" t="str">
        <f>IF(AND(C184&gt;='Campaign Metadata'!B$3,Posts!C184&lt;='Campaign Metadata'!C$3),"During","Before/After")</f>
        <v>Before/After</v>
      </c>
      <c r="V184" s="20" t="str">
        <f>IF(AND(C184&gt;='Campaign Metadata'!B$4,Posts!C184&lt;='Campaign Metadata'!C$4),"During","Before/After")</f>
        <v>Before/After</v>
      </c>
      <c r="W184" s="50" t="str">
        <f>IF(AND(C184&gt;='Campaign Metadata'!B$5,Posts!C184&lt;='Campaign Metadata'!C$5),"During","Before/After")</f>
        <v>Before/After</v>
      </c>
    </row>
    <row r="185" spans="1:23" x14ac:dyDescent="0.25">
      <c r="A185" s="49" t="s">
        <v>294</v>
      </c>
      <c r="B185" s="92" t="s">
        <v>30</v>
      </c>
      <c r="C185" s="35" t="s">
        <v>102</v>
      </c>
      <c r="D185" s="17" t="s">
        <v>32</v>
      </c>
      <c r="E185" s="17" t="s">
        <v>33</v>
      </c>
      <c r="F185" s="18">
        <v>1947</v>
      </c>
      <c r="G185" s="18">
        <v>842</v>
      </c>
      <c r="H185" s="18">
        <v>101</v>
      </c>
      <c r="I185" s="18">
        <v>21417</v>
      </c>
      <c r="J185" s="18">
        <f t="shared" si="4"/>
        <v>2789.0047158799084</v>
      </c>
      <c r="K185" s="18">
        <f t="shared" si="5"/>
        <v>2890</v>
      </c>
      <c r="L185" s="18">
        <v>20967</v>
      </c>
      <c r="M185" s="18">
        <v>186</v>
      </c>
      <c r="N185" s="19" t="s">
        <v>59</v>
      </c>
      <c r="O185" s="20"/>
      <c r="P185" s="20"/>
      <c r="Q185" s="20"/>
      <c r="R185" s="20"/>
      <c r="S185" s="22" t="s">
        <v>22</v>
      </c>
      <c r="T185" s="20" t="str">
        <f>IF(AND(C185&gt;='Campaign Metadata'!B$2,Posts!C185&lt;='Campaign Metadata'!C$2),"During","Before/After")</f>
        <v>Before/After</v>
      </c>
      <c r="U185" s="20" t="str">
        <f>IF(AND(C185&gt;='Campaign Metadata'!B$3,Posts!C185&lt;='Campaign Metadata'!C$3),"During","Before/After")</f>
        <v>During</v>
      </c>
      <c r="V185" s="20" t="str">
        <f>IF(AND(C185&gt;='Campaign Metadata'!B$4,Posts!C185&lt;='Campaign Metadata'!C$4),"During","Before/After")</f>
        <v>Before/After</v>
      </c>
      <c r="W185" s="50" t="str">
        <f>IF(AND(C185&gt;='Campaign Metadata'!B$5,Posts!C185&lt;='Campaign Metadata'!C$5),"During","Before/After")</f>
        <v>Before/After</v>
      </c>
    </row>
    <row r="186" spans="1:23" x14ac:dyDescent="0.25">
      <c r="A186" s="49" t="s">
        <v>481</v>
      </c>
      <c r="B186" s="92" t="s">
        <v>13</v>
      </c>
      <c r="C186" s="35" t="s">
        <v>482</v>
      </c>
      <c r="D186" s="17" t="s">
        <v>49</v>
      </c>
      <c r="E186" s="17" t="s">
        <v>128</v>
      </c>
      <c r="F186" s="18">
        <v>2692</v>
      </c>
      <c r="G186" s="18">
        <v>115</v>
      </c>
      <c r="H186" s="18">
        <v>64</v>
      </c>
      <c r="I186" s="18">
        <v>21536</v>
      </c>
      <c r="J186" s="18">
        <f t="shared" si="4"/>
        <v>2807.0029717682019</v>
      </c>
      <c r="K186" s="18">
        <f t="shared" si="5"/>
        <v>2871</v>
      </c>
      <c r="L186" s="18">
        <v>21120</v>
      </c>
      <c r="M186" s="18">
        <v>224</v>
      </c>
      <c r="N186" s="19" t="s">
        <v>59</v>
      </c>
      <c r="O186" s="20"/>
      <c r="P186" s="20"/>
      <c r="Q186" s="20"/>
      <c r="R186" s="20"/>
      <c r="S186" s="22" t="s">
        <v>22</v>
      </c>
      <c r="T186" s="20" t="str">
        <f>IF(AND(C186&gt;='Campaign Metadata'!B$2,Posts!C186&lt;='Campaign Metadata'!C$2),"During","Before/After")</f>
        <v>Before/After</v>
      </c>
      <c r="U186" s="20" t="str">
        <f>IF(AND(C186&gt;='Campaign Metadata'!B$3,Posts!C186&lt;='Campaign Metadata'!C$3),"During","Before/After")</f>
        <v>Before/After</v>
      </c>
      <c r="V186" s="20" t="str">
        <f>IF(AND(C186&gt;='Campaign Metadata'!B$4,Posts!C186&lt;='Campaign Metadata'!C$4),"During","Before/After")</f>
        <v>Before/After</v>
      </c>
      <c r="W186" s="50" t="str">
        <f>IF(AND(C186&gt;='Campaign Metadata'!B$5,Posts!C186&lt;='Campaign Metadata'!C$5),"During","Before/After")</f>
        <v>Before/After</v>
      </c>
    </row>
    <row r="187" spans="1:23" x14ac:dyDescent="0.25">
      <c r="A187" s="49" t="s">
        <v>307</v>
      </c>
      <c r="B187" s="92" t="s">
        <v>40</v>
      </c>
      <c r="C187" s="35" t="s">
        <v>308</v>
      </c>
      <c r="D187" s="17" t="s">
        <v>49</v>
      </c>
      <c r="E187" s="17" t="s">
        <v>56</v>
      </c>
      <c r="F187" s="18">
        <v>2291</v>
      </c>
      <c r="G187" s="18">
        <v>78</v>
      </c>
      <c r="H187" s="18">
        <v>485</v>
      </c>
      <c r="I187" s="18">
        <v>18328</v>
      </c>
      <c r="J187" s="18">
        <f t="shared" si="4"/>
        <v>2369.0264622435616</v>
      </c>
      <c r="K187" s="18">
        <f t="shared" si="5"/>
        <v>2854</v>
      </c>
      <c r="L187" s="18">
        <v>18101</v>
      </c>
      <c r="M187" s="18">
        <v>10</v>
      </c>
      <c r="N187" s="19" t="s">
        <v>34</v>
      </c>
      <c r="O187" s="20" t="s">
        <v>592</v>
      </c>
      <c r="P187" s="20"/>
      <c r="Q187" s="20"/>
      <c r="R187" s="20"/>
      <c r="S187" s="22" t="s">
        <v>22</v>
      </c>
      <c r="T187" s="20" t="str">
        <f>IF(AND(C187&gt;='Campaign Metadata'!B$2,Posts!C187&lt;='Campaign Metadata'!C$2),"During","Before/After")</f>
        <v>During</v>
      </c>
      <c r="U187" s="20" t="str">
        <f>IF(AND(C187&gt;='Campaign Metadata'!B$3,Posts!C187&lt;='Campaign Metadata'!C$3),"During","Before/After")</f>
        <v>Before/After</v>
      </c>
      <c r="V187" s="20" t="str">
        <f>IF(AND(C187&gt;='Campaign Metadata'!B$4,Posts!C187&lt;='Campaign Metadata'!C$4),"During","Before/After")</f>
        <v>Before/After</v>
      </c>
      <c r="W187" s="50" t="str">
        <f>IF(AND(C187&gt;='Campaign Metadata'!B$5,Posts!C187&lt;='Campaign Metadata'!C$5),"During","Before/After")</f>
        <v>Before/After</v>
      </c>
    </row>
    <row r="188" spans="1:23" x14ac:dyDescent="0.25">
      <c r="A188" s="49" t="s">
        <v>133</v>
      </c>
      <c r="B188" s="92" t="s">
        <v>30</v>
      </c>
      <c r="C188" s="35" t="s">
        <v>134</v>
      </c>
      <c r="D188" s="17" t="s">
        <v>42</v>
      </c>
      <c r="E188" s="17" t="s">
        <v>85</v>
      </c>
      <c r="F188" s="18">
        <v>2174</v>
      </c>
      <c r="G188" s="18">
        <v>658</v>
      </c>
      <c r="H188" s="18">
        <v>15</v>
      </c>
      <c r="I188" s="18">
        <v>13044</v>
      </c>
      <c r="J188" s="18">
        <f t="shared" si="4"/>
        <v>2832.0011499540019</v>
      </c>
      <c r="K188" s="18">
        <f t="shared" si="5"/>
        <v>2847</v>
      </c>
      <c r="L188" s="18">
        <v>12206</v>
      </c>
      <c r="M188" s="18">
        <v>137</v>
      </c>
      <c r="N188" s="19" t="s">
        <v>27</v>
      </c>
      <c r="O188" s="20"/>
      <c r="P188" s="20"/>
      <c r="Q188" s="20"/>
      <c r="R188" s="20"/>
      <c r="S188" s="22" t="s">
        <v>28</v>
      </c>
      <c r="T188" s="20" t="str">
        <f>IF(AND(C188&gt;='Campaign Metadata'!B$2,Posts!C188&lt;='Campaign Metadata'!C$2),"During","Before/After")</f>
        <v>Before/After</v>
      </c>
      <c r="U188" s="20" t="str">
        <f>IF(AND(C188&gt;='Campaign Metadata'!B$3,Posts!C188&lt;='Campaign Metadata'!C$3),"During","Before/After")</f>
        <v>Before/After</v>
      </c>
      <c r="V188" s="20" t="str">
        <f>IF(AND(C188&gt;='Campaign Metadata'!B$4,Posts!C188&lt;='Campaign Metadata'!C$4),"During","Before/After")</f>
        <v>Before/After</v>
      </c>
      <c r="W188" s="50" t="str">
        <f>IF(AND(C188&gt;='Campaign Metadata'!B$5,Posts!C188&lt;='Campaign Metadata'!C$5),"During","Before/After")</f>
        <v>Before/After</v>
      </c>
    </row>
    <row r="189" spans="1:23" x14ac:dyDescent="0.25">
      <c r="A189" s="49" t="s">
        <v>498</v>
      </c>
      <c r="B189" s="92" t="s">
        <v>13</v>
      </c>
      <c r="C189" s="35" t="s">
        <v>499</v>
      </c>
      <c r="D189" s="17" t="s">
        <v>42</v>
      </c>
      <c r="E189" s="17" t="s">
        <v>46</v>
      </c>
      <c r="F189" s="18">
        <v>1877</v>
      </c>
      <c r="G189" s="18">
        <v>745</v>
      </c>
      <c r="H189" s="18">
        <v>225</v>
      </c>
      <c r="I189" s="18">
        <v>11262</v>
      </c>
      <c r="J189" s="18">
        <f t="shared" si="4"/>
        <v>2622.0199786893982</v>
      </c>
      <c r="K189" s="18">
        <f t="shared" si="5"/>
        <v>2847</v>
      </c>
      <c r="L189" s="18">
        <v>10967</v>
      </c>
      <c r="M189" s="18">
        <v>41</v>
      </c>
      <c r="N189" s="19" t="s">
        <v>34</v>
      </c>
      <c r="O189" s="20"/>
      <c r="P189" s="20"/>
      <c r="Q189" s="20"/>
      <c r="R189" s="20"/>
      <c r="S189" s="22" t="s">
        <v>35</v>
      </c>
      <c r="T189" s="20" t="str">
        <f>IF(AND(C189&gt;='Campaign Metadata'!B$2,Posts!C189&lt;='Campaign Metadata'!C$2),"During","Before/After")</f>
        <v>Before/After</v>
      </c>
      <c r="U189" s="20" t="str">
        <f>IF(AND(C189&gt;='Campaign Metadata'!B$3,Posts!C189&lt;='Campaign Metadata'!C$3),"During","Before/After")</f>
        <v>Before/After</v>
      </c>
      <c r="V189" s="20" t="str">
        <f>IF(AND(C189&gt;='Campaign Metadata'!B$4,Posts!C189&lt;='Campaign Metadata'!C$4),"During","Before/After")</f>
        <v>Before/After</v>
      </c>
      <c r="W189" s="50" t="str">
        <f>IF(AND(C189&gt;='Campaign Metadata'!B$5,Posts!C189&lt;='Campaign Metadata'!C$5),"During","Before/After")</f>
        <v>Before/After</v>
      </c>
    </row>
    <row r="190" spans="1:23" x14ac:dyDescent="0.25">
      <c r="A190" s="49" t="s">
        <v>238</v>
      </c>
      <c r="B190" s="92" t="s">
        <v>13</v>
      </c>
      <c r="C190" s="35" t="s">
        <v>147</v>
      </c>
      <c r="D190" s="17" t="s">
        <v>32</v>
      </c>
      <c r="E190" s="17" t="s">
        <v>145</v>
      </c>
      <c r="F190" s="18">
        <v>1575</v>
      </c>
      <c r="G190" s="18">
        <v>771</v>
      </c>
      <c r="H190" s="18">
        <v>486</v>
      </c>
      <c r="I190" s="18">
        <v>25200</v>
      </c>
      <c r="J190" s="18">
        <f t="shared" si="4"/>
        <v>2346.0192857142856</v>
      </c>
      <c r="K190" s="18">
        <f t="shared" si="5"/>
        <v>2832</v>
      </c>
      <c r="L190" s="18">
        <v>24826</v>
      </c>
      <c r="M190" s="18">
        <v>17</v>
      </c>
      <c r="N190" s="19" t="s">
        <v>59</v>
      </c>
      <c r="O190" s="20"/>
      <c r="P190" s="20"/>
      <c r="Q190" s="20"/>
      <c r="R190" s="20"/>
      <c r="S190" s="22" t="s">
        <v>35</v>
      </c>
      <c r="T190" s="20" t="str">
        <f>IF(AND(C190&gt;='Campaign Metadata'!B$2,Posts!C190&lt;='Campaign Metadata'!C$2),"During","Before/After")</f>
        <v>Before/After</v>
      </c>
      <c r="U190" s="20" t="str">
        <f>IF(AND(C190&gt;='Campaign Metadata'!B$3,Posts!C190&lt;='Campaign Metadata'!C$3),"During","Before/After")</f>
        <v>Before/After</v>
      </c>
      <c r="V190" s="20" t="str">
        <f>IF(AND(C190&gt;='Campaign Metadata'!B$4,Posts!C190&lt;='Campaign Metadata'!C$4),"During","Before/After")</f>
        <v>Before/After</v>
      </c>
      <c r="W190" s="50" t="str">
        <f>IF(AND(C190&gt;='Campaign Metadata'!B$5,Posts!C190&lt;='Campaign Metadata'!C$5),"During","Before/After")</f>
        <v>Before/After</v>
      </c>
    </row>
    <row r="191" spans="1:23" x14ac:dyDescent="0.25">
      <c r="A191" s="49" t="s">
        <v>166</v>
      </c>
      <c r="B191" s="92" t="s">
        <v>30</v>
      </c>
      <c r="C191" s="35" t="s">
        <v>167</v>
      </c>
      <c r="D191" s="17" t="s">
        <v>20</v>
      </c>
      <c r="E191" s="17" t="s">
        <v>109</v>
      </c>
      <c r="F191" s="18">
        <v>2180</v>
      </c>
      <c r="G191" s="18">
        <v>263</v>
      </c>
      <c r="H191" s="18">
        <v>387</v>
      </c>
      <c r="I191" s="18">
        <v>30520</v>
      </c>
      <c r="J191" s="18">
        <f t="shared" si="4"/>
        <v>2443.0126802096984</v>
      </c>
      <c r="K191" s="18">
        <f t="shared" si="5"/>
        <v>2830</v>
      </c>
      <c r="L191" s="18">
        <v>30059</v>
      </c>
      <c r="M191" s="18">
        <v>174</v>
      </c>
      <c r="N191" s="19" t="s">
        <v>34</v>
      </c>
      <c r="O191" s="20"/>
      <c r="P191" s="20"/>
      <c r="Q191" s="20"/>
      <c r="R191" s="20"/>
      <c r="S191" s="22"/>
      <c r="T191" s="20" t="str">
        <f>IF(AND(C191&gt;='Campaign Metadata'!B$2,Posts!C191&lt;='Campaign Metadata'!C$2),"During","Before/After")</f>
        <v>During</v>
      </c>
      <c r="U191" s="20" t="str">
        <f>IF(AND(C191&gt;='Campaign Metadata'!B$3,Posts!C191&lt;='Campaign Metadata'!C$3),"During","Before/After")</f>
        <v>Before/After</v>
      </c>
      <c r="V191" s="20" t="str">
        <f>IF(AND(C191&gt;='Campaign Metadata'!B$4,Posts!C191&lt;='Campaign Metadata'!C$4),"During","Before/After")</f>
        <v>Before/After</v>
      </c>
      <c r="W191" s="50" t="str">
        <f>IF(AND(C191&gt;='Campaign Metadata'!B$5,Posts!C191&lt;='Campaign Metadata'!C$5),"During","Before/After")</f>
        <v>Before/After</v>
      </c>
    </row>
    <row r="192" spans="1:23" x14ac:dyDescent="0.25">
      <c r="A192" s="49" t="s">
        <v>433</v>
      </c>
      <c r="B192" s="92" t="s">
        <v>40</v>
      </c>
      <c r="C192" s="35" t="s">
        <v>434</v>
      </c>
      <c r="D192" s="17" t="s">
        <v>15</v>
      </c>
      <c r="E192" s="17" t="s">
        <v>62</v>
      </c>
      <c r="F192" s="18">
        <v>1814</v>
      </c>
      <c r="G192" s="18">
        <v>653</v>
      </c>
      <c r="H192" s="18">
        <v>363</v>
      </c>
      <c r="I192" s="18">
        <v>25396</v>
      </c>
      <c r="J192" s="18">
        <f t="shared" si="4"/>
        <v>2467.0142935895415</v>
      </c>
      <c r="K192" s="18">
        <f t="shared" si="5"/>
        <v>2830</v>
      </c>
      <c r="L192" s="18">
        <v>25286</v>
      </c>
      <c r="M192" s="18">
        <v>39</v>
      </c>
      <c r="N192" s="19" t="s">
        <v>59</v>
      </c>
      <c r="O192" s="20" t="s">
        <v>592</v>
      </c>
      <c r="P192" s="20"/>
      <c r="Q192" s="20"/>
      <c r="R192" s="20"/>
      <c r="S192" s="21" t="s">
        <v>17</v>
      </c>
      <c r="T192" s="20" t="str">
        <f>IF(AND(C192&gt;='Campaign Metadata'!B$2,Posts!C192&lt;='Campaign Metadata'!C$2),"During","Before/After")</f>
        <v>Before/After</v>
      </c>
      <c r="U192" s="20" t="str">
        <f>IF(AND(C192&gt;='Campaign Metadata'!B$3,Posts!C192&lt;='Campaign Metadata'!C$3),"During","Before/After")</f>
        <v>Before/After</v>
      </c>
      <c r="V192" s="20" t="str">
        <f>IF(AND(C192&gt;='Campaign Metadata'!B$4,Posts!C192&lt;='Campaign Metadata'!C$4),"During","Before/After")</f>
        <v>During</v>
      </c>
      <c r="W192" s="50" t="str">
        <f>IF(AND(C192&gt;='Campaign Metadata'!B$5,Posts!C192&lt;='Campaign Metadata'!C$5),"During","Before/After")</f>
        <v>Before/After</v>
      </c>
    </row>
    <row r="193" spans="1:23" x14ac:dyDescent="0.25">
      <c r="A193" s="49" t="s">
        <v>429</v>
      </c>
      <c r="B193" s="92" t="s">
        <v>40</v>
      </c>
      <c r="C193" s="35" t="s">
        <v>247</v>
      </c>
      <c r="D193" s="17" t="s">
        <v>42</v>
      </c>
      <c r="E193" s="17" t="s">
        <v>43</v>
      </c>
      <c r="F193" s="18">
        <v>1869</v>
      </c>
      <c r="G193" s="18">
        <v>453</v>
      </c>
      <c r="H193" s="18">
        <v>490</v>
      </c>
      <c r="I193" s="18">
        <v>14952</v>
      </c>
      <c r="J193" s="18">
        <f t="shared" si="4"/>
        <v>2322.0327715355807</v>
      </c>
      <c r="K193" s="18">
        <f t="shared" si="5"/>
        <v>2812</v>
      </c>
      <c r="L193" s="18">
        <v>14309</v>
      </c>
      <c r="M193" s="18">
        <v>275</v>
      </c>
      <c r="N193" s="19" t="s">
        <v>27</v>
      </c>
      <c r="O193" s="20"/>
      <c r="P193" s="20"/>
      <c r="Q193" s="20"/>
      <c r="R193" s="20"/>
      <c r="S193" s="22" t="s">
        <v>35</v>
      </c>
      <c r="T193" s="20" t="str">
        <f>IF(AND(C193&gt;='Campaign Metadata'!B$2,Posts!C193&lt;='Campaign Metadata'!C$2),"During","Before/After")</f>
        <v>Before/After</v>
      </c>
      <c r="U193" s="20" t="str">
        <f>IF(AND(C193&gt;='Campaign Metadata'!B$3,Posts!C193&lt;='Campaign Metadata'!C$3),"During","Before/After")</f>
        <v>Before/After</v>
      </c>
      <c r="V193" s="20" t="str">
        <f>IF(AND(C193&gt;='Campaign Metadata'!B$4,Posts!C193&lt;='Campaign Metadata'!C$4),"During","Before/After")</f>
        <v>Before/After</v>
      </c>
      <c r="W193" s="50" t="str">
        <f>IF(AND(C193&gt;='Campaign Metadata'!B$5,Posts!C193&lt;='Campaign Metadata'!C$5),"During","Before/After")</f>
        <v>Before/After</v>
      </c>
    </row>
    <row r="194" spans="1:23" x14ac:dyDescent="0.25">
      <c r="A194" s="49" t="s">
        <v>450</v>
      </c>
      <c r="B194" s="92" t="s">
        <v>40</v>
      </c>
      <c r="C194" s="35" t="s">
        <v>130</v>
      </c>
      <c r="D194" s="17" t="s">
        <v>49</v>
      </c>
      <c r="E194" s="17" t="s">
        <v>56</v>
      </c>
      <c r="F194" s="18">
        <v>2382</v>
      </c>
      <c r="G194" s="18">
        <v>265</v>
      </c>
      <c r="H194" s="18">
        <v>134</v>
      </c>
      <c r="I194" s="18">
        <v>38112</v>
      </c>
      <c r="J194" s="18">
        <f t="shared" ref="J194:J257" si="6">F194+G194+H194/I194</f>
        <v>2647.0035159529807</v>
      </c>
      <c r="K194" s="18">
        <f t="shared" ref="K194:K257" si="7">F194+G194+H194</f>
        <v>2781</v>
      </c>
      <c r="L194" s="18">
        <v>37437</v>
      </c>
      <c r="M194" s="18">
        <v>249</v>
      </c>
      <c r="N194" s="19" t="s">
        <v>59</v>
      </c>
      <c r="O194" s="20"/>
      <c r="P194" s="20"/>
      <c r="Q194" s="20"/>
      <c r="R194" s="20"/>
      <c r="S194" s="22" t="s">
        <v>35</v>
      </c>
      <c r="T194" s="20" t="str">
        <f>IF(AND(C194&gt;='Campaign Metadata'!B$2,Posts!C194&lt;='Campaign Metadata'!C$2),"During","Before/After")</f>
        <v>Before/After</v>
      </c>
      <c r="U194" s="20" t="str">
        <f>IF(AND(C194&gt;='Campaign Metadata'!B$3,Posts!C194&lt;='Campaign Metadata'!C$3),"During","Before/After")</f>
        <v>During</v>
      </c>
      <c r="V194" s="20" t="str">
        <f>IF(AND(C194&gt;='Campaign Metadata'!B$4,Posts!C194&lt;='Campaign Metadata'!C$4),"During","Before/After")</f>
        <v>Before/After</v>
      </c>
      <c r="W194" s="50" t="str">
        <f>IF(AND(C194&gt;='Campaign Metadata'!B$5,Posts!C194&lt;='Campaign Metadata'!C$5),"During","Before/After")</f>
        <v>Before/After</v>
      </c>
    </row>
    <row r="195" spans="1:23" x14ac:dyDescent="0.25">
      <c r="A195" s="49" t="s">
        <v>337</v>
      </c>
      <c r="B195" s="92" t="s">
        <v>40</v>
      </c>
      <c r="C195" s="35" t="s">
        <v>125</v>
      </c>
      <c r="D195" s="17" t="s">
        <v>32</v>
      </c>
      <c r="E195" s="17" t="s">
        <v>68</v>
      </c>
      <c r="F195" s="18">
        <v>2120</v>
      </c>
      <c r="G195" s="18">
        <v>158</v>
      </c>
      <c r="H195" s="18">
        <v>488</v>
      </c>
      <c r="I195" s="18">
        <v>12720</v>
      </c>
      <c r="J195" s="18">
        <f t="shared" si="6"/>
        <v>2278.0383647798744</v>
      </c>
      <c r="K195" s="18">
        <f t="shared" si="7"/>
        <v>2766</v>
      </c>
      <c r="L195" s="18">
        <v>12085</v>
      </c>
      <c r="M195" s="18">
        <v>17</v>
      </c>
      <c r="N195" s="19" t="s">
        <v>59</v>
      </c>
      <c r="O195" s="20"/>
      <c r="P195" s="20"/>
      <c r="Q195" s="20"/>
      <c r="R195" s="20"/>
      <c r="S195" s="22" t="s">
        <v>22</v>
      </c>
      <c r="T195" s="20" t="str">
        <f>IF(AND(C195&gt;='Campaign Metadata'!B$2,Posts!C195&lt;='Campaign Metadata'!C$2),"During","Before/After")</f>
        <v>Before/After</v>
      </c>
      <c r="U195" s="20" t="str">
        <f>IF(AND(C195&gt;='Campaign Metadata'!B$3,Posts!C195&lt;='Campaign Metadata'!C$3),"During","Before/After")</f>
        <v>Before/After</v>
      </c>
      <c r="V195" s="20" t="str">
        <f>IF(AND(C195&gt;='Campaign Metadata'!B$4,Posts!C195&lt;='Campaign Metadata'!C$4),"During","Before/After")</f>
        <v>Before/After</v>
      </c>
      <c r="W195" s="50" t="str">
        <f>IF(AND(C195&gt;='Campaign Metadata'!B$5,Posts!C195&lt;='Campaign Metadata'!C$5),"During","Before/After")</f>
        <v>Before/After</v>
      </c>
    </row>
    <row r="196" spans="1:23" x14ac:dyDescent="0.25">
      <c r="A196" s="49" t="s">
        <v>311</v>
      </c>
      <c r="B196" s="92" t="s">
        <v>24</v>
      </c>
      <c r="C196" s="35" t="s">
        <v>257</v>
      </c>
      <c r="D196" s="17" t="s">
        <v>32</v>
      </c>
      <c r="E196" s="17" t="s">
        <v>150</v>
      </c>
      <c r="F196" s="18">
        <v>2070</v>
      </c>
      <c r="G196" s="18">
        <v>275</v>
      </c>
      <c r="H196" s="18">
        <v>386</v>
      </c>
      <c r="I196" s="18">
        <v>39330</v>
      </c>
      <c r="J196" s="18">
        <f t="shared" si="6"/>
        <v>2345.00981439105</v>
      </c>
      <c r="K196" s="18">
        <f t="shared" si="7"/>
        <v>2731</v>
      </c>
      <c r="L196" s="18">
        <v>38627</v>
      </c>
      <c r="M196" s="18">
        <v>114</v>
      </c>
      <c r="N196" s="19" t="s">
        <v>59</v>
      </c>
      <c r="O196" s="20"/>
      <c r="P196" s="20"/>
      <c r="Q196" s="20"/>
      <c r="R196" s="20"/>
      <c r="S196" s="22" t="s">
        <v>35</v>
      </c>
      <c r="T196" s="20" t="str">
        <f>IF(AND(C196&gt;='Campaign Metadata'!B$2,Posts!C196&lt;='Campaign Metadata'!C$2),"During","Before/After")</f>
        <v>Before/After</v>
      </c>
      <c r="U196" s="20" t="str">
        <f>IF(AND(C196&gt;='Campaign Metadata'!B$3,Posts!C196&lt;='Campaign Metadata'!C$3),"During","Before/After")</f>
        <v>During</v>
      </c>
      <c r="V196" s="20" t="str">
        <f>IF(AND(C196&gt;='Campaign Metadata'!B$4,Posts!C196&lt;='Campaign Metadata'!C$4),"During","Before/After")</f>
        <v>Before/After</v>
      </c>
      <c r="W196" s="50" t="str">
        <f>IF(AND(C196&gt;='Campaign Metadata'!B$5,Posts!C196&lt;='Campaign Metadata'!C$5),"During","Before/After")</f>
        <v>Before/After</v>
      </c>
    </row>
    <row r="197" spans="1:23" x14ac:dyDescent="0.25">
      <c r="A197" s="49" t="s">
        <v>144</v>
      </c>
      <c r="B197" s="92" t="s">
        <v>13</v>
      </c>
      <c r="C197" s="35" t="s">
        <v>55</v>
      </c>
      <c r="D197" s="17" t="s">
        <v>32</v>
      </c>
      <c r="E197" s="17" t="s">
        <v>145</v>
      </c>
      <c r="F197" s="18">
        <v>1950</v>
      </c>
      <c r="G197" s="18">
        <v>295</v>
      </c>
      <c r="H197" s="18">
        <v>478</v>
      </c>
      <c r="I197" s="18">
        <v>37050</v>
      </c>
      <c r="J197" s="18">
        <f t="shared" si="6"/>
        <v>2245.0129014844806</v>
      </c>
      <c r="K197" s="18">
        <f t="shared" si="7"/>
        <v>2723</v>
      </c>
      <c r="L197" s="18">
        <v>36272</v>
      </c>
      <c r="M197" s="18">
        <v>119</v>
      </c>
      <c r="N197" s="19" t="s">
        <v>27</v>
      </c>
      <c r="O197" s="20"/>
      <c r="P197" s="20"/>
      <c r="Q197" s="20"/>
      <c r="R197" s="20"/>
      <c r="S197" s="22"/>
      <c r="T197" s="20" t="str">
        <f>IF(AND(C197&gt;='Campaign Metadata'!B$2,Posts!C197&lt;='Campaign Metadata'!C$2),"During","Before/After")</f>
        <v>Before/After</v>
      </c>
      <c r="U197" s="20" t="str">
        <f>IF(AND(C197&gt;='Campaign Metadata'!B$3,Posts!C197&lt;='Campaign Metadata'!C$3),"During","Before/After")</f>
        <v>During</v>
      </c>
      <c r="V197" s="20" t="str">
        <f>IF(AND(C197&gt;='Campaign Metadata'!B$4,Posts!C197&lt;='Campaign Metadata'!C$4),"During","Before/After")</f>
        <v>Before/After</v>
      </c>
      <c r="W197" s="50" t="str">
        <f>IF(AND(C197&gt;='Campaign Metadata'!B$5,Posts!C197&lt;='Campaign Metadata'!C$5),"During","Before/After")</f>
        <v>Before/After</v>
      </c>
    </row>
    <row r="198" spans="1:23" x14ac:dyDescent="0.25">
      <c r="A198" s="49" t="s">
        <v>103</v>
      </c>
      <c r="B198" s="92" t="s">
        <v>30</v>
      </c>
      <c r="C198" s="35" t="s">
        <v>104</v>
      </c>
      <c r="D198" s="17" t="s">
        <v>42</v>
      </c>
      <c r="E198" s="17" t="s">
        <v>85</v>
      </c>
      <c r="F198" s="18">
        <v>2566</v>
      </c>
      <c r="G198" s="18">
        <v>118</v>
      </c>
      <c r="H198" s="18">
        <v>37</v>
      </c>
      <c r="I198" s="18">
        <v>12830</v>
      </c>
      <c r="J198" s="18">
        <f t="shared" si="6"/>
        <v>2684.0028838659391</v>
      </c>
      <c r="K198" s="18">
        <f t="shared" si="7"/>
        <v>2721</v>
      </c>
      <c r="L198" s="18">
        <v>12264</v>
      </c>
      <c r="M198" s="18">
        <v>221</v>
      </c>
      <c r="N198" s="19" t="s">
        <v>59</v>
      </c>
      <c r="O198" s="20"/>
      <c r="P198" s="20"/>
      <c r="Q198" s="20"/>
      <c r="R198" s="20"/>
      <c r="S198" s="22" t="s">
        <v>28</v>
      </c>
      <c r="T198" s="20" t="str">
        <f>IF(AND(C198&gt;='Campaign Metadata'!B$2,Posts!C198&lt;='Campaign Metadata'!C$2),"During","Before/After")</f>
        <v>Before/After</v>
      </c>
      <c r="U198" s="20" t="str">
        <f>IF(AND(C198&gt;='Campaign Metadata'!B$3,Posts!C198&lt;='Campaign Metadata'!C$3),"During","Before/After")</f>
        <v>Before/After</v>
      </c>
      <c r="V198" s="20" t="str">
        <f>IF(AND(C198&gt;='Campaign Metadata'!B$4,Posts!C198&lt;='Campaign Metadata'!C$4),"During","Before/After")</f>
        <v>Before/After</v>
      </c>
      <c r="W198" s="50" t="str">
        <f>IF(AND(C198&gt;='Campaign Metadata'!B$5,Posts!C198&lt;='Campaign Metadata'!C$5),"During","Before/After")</f>
        <v>Before/After</v>
      </c>
    </row>
    <row r="199" spans="1:23" x14ac:dyDescent="0.25">
      <c r="A199" s="49" t="s">
        <v>218</v>
      </c>
      <c r="B199" s="92" t="s">
        <v>13</v>
      </c>
      <c r="C199" s="35" t="s">
        <v>219</v>
      </c>
      <c r="D199" s="17" t="s">
        <v>71</v>
      </c>
      <c r="E199" s="17" t="s">
        <v>141</v>
      </c>
      <c r="F199" s="18">
        <v>1436</v>
      </c>
      <c r="G199" s="18">
        <v>765</v>
      </c>
      <c r="H199" s="18">
        <v>496</v>
      </c>
      <c r="I199" s="18">
        <v>12924</v>
      </c>
      <c r="J199" s="18">
        <f t="shared" si="6"/>
        <v>2201.0383782110803</v>
      </c>
      <c r="K199" s="18">
        <f t="shared" si="7"/>
        <v>2697</v>
      </c>
      <c r="L199" s="18">
        <v>12701</v>
      </c>
      <c r="M199" s="18">
        <v>197</v>
      </c>
      <c r="N199" s="19" t="s">
        <v>59</v>
      </c>
      <c r="O199" s="20"/>
      <c r="P199" s="20"/>
      <c r="Q199" s="20"/>
      <c r="R199" s="20"/>
      <c r="S199" s="22" t="s">
        <v>28</v>
      </c>
      <c r="T199" s="20" t="str">
        <f>IF(AND(C199&gt;='Campaign Metadata'!B$2,Posts!C199&lt;='Campaign Metadata'!C$2),"During","Before/After")</f>
        <v>Before/After</v>
      </c>
      <c r="U199" s="20" t="str">
        <f>IF(AND(C199&gt;='Campaign Metadata'!B$3,Posts!C199&lt;='Campaign Metadata'!C$3),"During","Before/After")</f>
        <v>Before/After</v>
      </c>
      <c r="V199" s="20" t="str">
        <f>IF(AND(C199&gt;='Campaign Metadata'!B$4,Posts!C199&lt;='Campaign Metadata'!C$4),"During","Before/After")</f>
        <v>Before/After</v>
      </c>
      <c r="W199" s="50" t="str">
        <f>IF(AND(C199&gt;='Campaign Metadata'!B$5,Posts!C199&lt;='Campaign Metadata'!C$5),"During","Before/After")</f>
        <v>Before/After</v>
      </c>
    </row>
    <row r="200" spans="1:23" x14ac:dyDescent="0.25">
      <c r="A200" s="49" t="s">
        <v>131</v>
      </c>
      <c r="B200" s="92" t="s">
        <v>24</v>
      </c>
      <c r="C200" s="35" t="s">
        <v>132</v>
      </c>
      <c r="D200" s="17" t="s">
        <v>15</v>
      </c>
      <c r="E200" s="17" t="s">
        <v>26</v>
      </c>
      <c r="F200" s="18">
        <v>1543</v>
      </c>
      <c r="G200" s="18">
        <v>820</v>
      </c>
      <c r="H200" s="18">
        <v>333</v>
      </c>
      <c r="I200" s="18">
        <v>12344</v>
      </c>
      <c r="J200" s="18">
        <f t="shared" si="6"/>
        <v>2363.026976668827</v>
      </c>
      <c r="K200" s="18">
        <f t="shared" si="7"/>
        <v>2696</v>
      </c>
      <c r="L200" s="18">
        <v>11496</v>
      </c>
      <c r="M200" s="18">
        <v>241</v>
      </c>
      <c r="N200" s="19" t="s">
        <v>34</v>
      </c>
      <c r="O200" s="20"/>
      <c r="P200" s="20"/>
      <c r="Q200" s="20"/>
      <c r="R200" s="20"/>
      <c r="S200" s="22"/>
      <c r="T200" s="20" t="str">
        <f>IF(AND(C200&gt;='Campaign Metadata'!B$2,Posts!C200&lt;='Campaign Metadata'!C$2),"During","Before/After")</f>
        <v>Before/After</v>
      </c>
      <c r="U200" s="20" t="str">
        <f>IF(AND(C200&gt;='Campaign Metadata'!B$3,Posts!C200&lt;='Campaign Metadata'!C$3),"During","Before/After")</f>
        <v>During</v>
      </c>
      <c r="V200" s="20" t="str">
        <f>IF(AND(C200&gt;='Campaign Metadata'!B$4,Posts!C200&lt;='Campaign Metadata'!C$4),"During","Before/After")</f>
        <v>Before/After</v>
      </c>
      <c r="W200" s="50" t="str">
        <f>IF(AND(C200&gt;='Campaign Metadata'!B$5,Posts!C200&lt;='Campaign Metadata'!C$5),"During","Before/After")</f>
        <v>Before/After</v>
      </c>
    </row>
    <row r="201" spans="1:23" x14ac:dyDescent="0.25">
      <c r="A201" s="49" t="s">
        <v>295</v>
      </c>
      <c r="B201" s="92" t="s">
        <v>40</v>
      </c>
      <c r="C201" s="35" t="s">
        <v>296</v>
      </c>
      <c r="D201" s="17" t="s">
        <v>49</v>
      </c>
      <c r="E201" s="17" t="s">
        <v>56</v>
      </c>
      <c r="F201" s="18">
        <v>2072</v>
      </c>
      <c r="G201" s="18">
        <v>532</v>
      </c>
      <c r="H201" s="18">
        <v>71</v>
      </c>
      <c r="I201" s="18">
        <v>37296</v>
      </c>
      <c r="J201" s="18">
        <f t="shared" si="6"/>
        <v>2604.0019036894037</v>
      </c>
      <c r="K201" s="18">
        <f t="shared" si="7"/>
        <v>2675</v>
      </c>
      <c r="L201" s="18">
        <v>36467</v>
      </c>
      <c r="M201" s="18">
        <v>25</v>
      </c>
      <c r="N201" s="19" t="s">
        <v>27</v>
      </c>
      <c r="O201" s="20"/>
      <c r="P201" s="20"/>
      <c r="Q201" s="20"/>
      <c r="R201" s="20"/>
      <c r="S201" s="22" t="s">
        <v>35</v>
      </c>
      <c r="T201" s="20" t="str">
        <f>IF(AND(C201&gt;='Campaign Metadata'!B$2,Posts!C201&lt;='Campaign Metadata'!C$2),"During","Before/After")</f>
        <v>Before/After</v>
      </c>
      <c r="U201" s="20" t="str">
        <f>IF(AND(C201&gt;='Campaign Metadata'!B$3,Posts!C201&lt;='Campaign Metadata'!C$3),"During","Before/After")</f>
        <v>Before/After</v>
      </c>
      <c r="V201" s="20" t="str">
        <f>IF(AND(C201&gt;='Campaign Metadata'!B$4,Posts!C201&lt;='Campaign Metadata'!C$4),"During","Before/After")</f>
        <v>Before/After</v>
      </c>
      <c r="W201" s="50" t="str">
        <f>IF(AND(C201&gt;='Campaign Metadata'!B$5,Posts!C201&lt;='Campaign Metadata'!C$5),"During","Before/After")</f>
        <v>Before/After</v>
      </c>
    </row>
    <row r="202" spans="1:23" x14ac:dyDescent="0.25">
      <c r="A202" s="49" t="s">
        <v>196</v>
      </c>
      <c r="B202" s="92" t="s">
        <v>30</v>
      </c>
      <c r="C202" s="35" t="s">
        <v>197</v>
      </c>
      <c r="D202" s="17" t="s">
        <v>15</v>
      </c>
      <c r="E202" s="17" t="s">
        <v>79</v>
      </c>
      <c r="F202" s="18">
        <v>1674</v>
      </c>
      <c r="G202" s="18">
        <v>929</v>
      </c>
      <c r="H202" s="18">
        <v>37</v>
      </c>
      <c r="I202" s="18">
        <v>21762</v>
      </c>
      <c r="J202" s="18">
        <f t="shared" si="6"/>
        <v>2603.0017002113777</v>
      </c>
      <c r="K202" s="18">
        <f t="shared" si="7"/>
        <v>2640</v>
      </c>
      <c r="L202" s="18">
        <v>20998</v>
      </c>
      <c r="M202" s="18">
        <v>255</v>
      </c>
      <c r="N202" s="19" t="s">
        <v>27</v>
      </c>
      <c r="O202" s="20"/>
      <c r="P202" s="20"/>
      <c r="Q202" s="20"/>
      <c r="R202" s="20"/>
      <c r="S202" s="22" t="s">
        <v>35</v>
      </c>
      <c r="T202" s="20" t="str">
        <f>IF(AND(C202&gt;='Campaign Metadata'!B$2,Posts!C202&lt;='Campaign Metadata'!C$2),"During","Before/After")</f>
        <v>Before/After</v>
      </c>
      <c r="U202" s="20" t="str">
        <f>IF(AND(C202&gt;='Campaign Metadata'!B$3,Posts!C202&lt;='Campaign Metadata'!C$3),"During","Before/After")</f>
        <v>Before/After</v>
      </c>
      <c r="V202" s="20" t="str">
        <f>IF(AND(C202&gt;='Campaign Metadata'!B$4,Posts!C202&lt;='Campaign Metadata'!C$4),"During","Before/After")</f>
        <v>Before/After</v>
      </c>
      <c r="W202" s="50" t="str">
        <f>IF(AND(C202&gt;='Campaign Metadata'!B$5,Posts!C202&lt;='Campaign Metadata'!C$5),"During","Before/After")</f>
        <v>Before/After</v>
      </c>
    </row>
    <row r="203" spans="1:23" x14ac:dyDescent="0.25">
      <c r="A203" s="49" t="s">
        <v>547</v>
      </c>
      <c r="B203" s="92" t="s">
        <v>13</v>
      </c>
      <c r="C203" s="35" t="s">
        <v>548</v>
      </c>
      <c r="D203" s="17" t="s">
        <v>20</v>
      </c>
      <c r="E203" s="17" t="s">
        <v>21</v>
      </c>
      <c r="F203" s="18">
        <v>2166</v>
      </c>
      <c r="G203" s="18">
        <v>354</v>
      </c>
      <c r="H203" s="18">
        <v>117</v>
      </c>
      <c r="I203" s="18">
        <v>10830</v>
      </c>
      <c r="J203" s="18">
        <f t="shared" si="6"/>
        <v>2520.0108033240999</v>
      </c>
      <c r="K203" s="18">
        <f t="shared" si="7"/>
        <v>2637</v>
      </c>
      <c r="L203" s="18">
        <v>10245</v>
      </c>
      <c r="M203" s="18">
        <v>24</v>
      </c>
      <c r="N203" s="19" t="s">
        <v>34</v>
      </c>
      <c r="O203" s="20"/>
      <c r="P203" s="20"/>
      <c r="Q203" s="20"/>
      <c r="R203" s="20"/>
      <c r="S203" s="22" t="s">
        <v>35</v>
      </c>
      <c r="T203" s="20" t="str">
        <f>IF(AND(C203&gt;='Campaign Metadata'!B$2,Posts!C203&lt;='Campaign Metadata'!C$2),"During","Before/After")</f>
        <v>Before/After</v>
      </c>
      <c r="U203" s="20" t="str">
        <f>IF(AND(C203&gt;='Campaign Metadata'!B$3,Posts!C203&lt;='Campaign Metadata'!C$3),"During","Before/After")</f>
        <v>Before/After</v>
      </c>
      <c r="V203" s="20" t="str">
        <f>IF(AND(C203&gt;='Campaign Metadata'!B$4,Posts!C203&lt;='Campaign Metadata'!C$4),"During","Before/After")</f>
        <v>Before/After</v>
      </c>
      <c r="W203" s="50" t="str">
        <f>IF(AND(C203&gt;='Campaign Metadata'!B$5,Posts!C203&lt;='Campaign Metadata'!C$5),"During","Before/After")</f>
        <v>Before/After</v>
      </c>
    </row>
    <row r="204" spans="1:23" x14ac:dyDescent="0.25">
      <c r="A204" s="49" t="s">
        <v>270</v>
      </c>
      <c r="B204" s="92" t="s">
        <v>13</v>
      </c>
      <c r="C204" s="35" t="s">
        <v>271</v>
      </c>
      <c r="D204" s="17" t="s">
        <v>49</v>
      </c>
      <c r="E204" s="17" t="s">
        <v>128</v>
      </c>
      <c r="F204" s="18">
        <v>2493</v>
      </c>
      <c r="G204" s="18">
        <v>97</v>
      </c>
      <c r="H204" s="18">
        <v>44</v>
      </c>
      <c r="I204" s="18">
        <v>42381</v>
      </c>
      <c r="J204" s="18">
        <f t="shared" si="6"/>
        <v>2590.0010382010805</v>
      </c>
      <c r="K204" s="18">
        <f t="shared" si="7"/>
        <v>2634</v>
      </c>
      <c r="L204" s="18">
        <v>41991</v>
      </c>
      <c r="M204" s="18">
        <v>242</v>
      </c>
      <c r="N204" s="19" t="s">
        <v>27</v>
      </c>
      <c r="O204" s="20" t="s">
        <v>597</v>
      </c>
      <c r="P204" s="20"/>
      <c r="Q204" s="20"/>
      <c r="R204" s="20"/>
      <c r="S204" s="22" t="s">
        <v>35</v>
      </c>
      <c r="T204" s="20" t="str">
        <f>IF(AND(C204&gt;='Campaign Metadata'!B$2,Posts!C204&lt;='Campaign Metadata'!C$2),"During","Before/After")</f>
        <v>Before/After</v>
      </c>
      <c r="U204" s="20" t="str">
        <f>IF(AND(C204&gt;='Campaign Metadata'!B$3,Posts!C204&lt;='Campaign Metadata'!C$3),"During","Before/After")</f>
        <v>Before/After</v>
      </c>
      <c r="V204" s="20" t="str">
        <f>IF(AND(C204&gt;='Campaign Metadata'!B$4,Posts!C204&lt;='Campaign Metadata'!C$4),"During","Before/After")</f>
        <v>Before/After</v>
      </c>
      <c r="W204" s="50" t="str">
        <f>IF(AND(C204&gt;='Campaign Metadata'!B$5,Posts!C204&lt;='Campaign Metadata'!C$5),"During","Before/After")</f>
        <v>Before/After</v>
      </c>
    </row>
    <row r="205" spans="1:23" x14ac:dyDescent="0.25">
      <c r="A205" s="49" t="s">
        <v>478</v>
      </c>
      <c r="B205" s="92" t="s">
        <v>40</v>
      </c>
      <c r="C205" s="35" t="s">
        <v>355</v>
      </c>
      <c r="D205" s="17" t="s">
        <v>42</v>
      </c>
      <c r="E205" s="17" t="s">
        <v>43</v>
      </c>
      <c r="F205" s="18">
        <v>2089</v>
      </c>
      <c r="G205" s="18">
        <v>476</v>
      </c>
      <c r="H205" s="18">
        <v>69</v>
      </c>
      <c r="I205" s="18">
        <v>16712</v>
      </c>
      <c r="J205" s="18">
        <f t="shared" si="6"/>
        <v>2565.0041287697463</v>
      </c>
      <c r="K205" s="18">
        <f t="shared" si="7"/>
        <v>2634</v>
      </c>
      <c r="L205" s="18">
        <v>16309</v>
      </c>
      <c r="M205" s="18">
        <v>64</v>
      </c>
      <c r="N205" s="19" t="s">
        <v>59</v>
      </c>
      <c r="O205" s="20"/>
      <c r="P205" s="20"/>
      <c r="Q205" s="20"/>
      <c r="R205" s="20"/>
      <c r="S205" s="22" t="s">
        <v>28</v>
      </c>
      <c r="T205" s="20" t="str">
        <f>IF(AND(C205&gt;='Campaign Metadata'!B$2,Posts!C205&lt;='Campaign Metadata'!C$2),"During","Before/After")</f>
        <v>Before/After</v>
      </c>
      <c r="U205" s="20" t="str">
        <f>IF(AND(C205&gt;='Campaign Metadata'!B$3,Posts!C205&lt;='Campaign Metadata'!C$3),"During","Before/After")</f>
        <v>Before/After</v>
      </c>
      <c r="V205" s="20" t="str">
        <f>IF(AND(C205&gt;='Campaign Metadata'!B$4,Posts!C205&lt;='Campaign Metadata'!C$4),"During","Before/After")</f>
        <v>Before/After</v>
      </c>
      <c r="W205" s="50" t="str">
        <f>IF(AND(C205&gt;='Campaign Metadata'!B$5,Posts!C205&lt;='Campaign Metadata'!C$5),"During","Before/After")</f>
        <v>Before/After</v>
      </c>
    </row>
    <row r="206" spans="1:23" x14ac:dyDescent="0.25">
      <c r="A206" s="49" t="s">
        <v>319</v>
      </c>
      <c r="B206" s="92" t="s">
        <v>13</v>
      </c>
      <c r="C206" s="35" t="s">
        <v>320</v>
      </c>
      <c r="D206" s="17" t="s">
        <v>71</v>
      </c>
      <c r="E206" s="17" t="s">
        <v>141</v>
      </c>
      <c r="F206" s="18">
        <v>1702</v>
      </c>
      <c r="G206" s="18">
        <v>750</v>
      </c>
      <c r="H206" s="18">
        <v>179</v>
      </c>
      <c r="I206" s="18">
        <v>34040</v>
      </c>
      <c r="J206" s="18">
        <f t="shared" si="6"/>
        <v>2452.0052585193889</v>
      </c>
      <c r="K206" s="18">
        <f t="shared" si="7"/>
        <v>2631</v>
      </c>
      <c r="L206" s="18">
        <v>33174</v>
      </c>
      <c r="M206" s="18">
        <v>76</v>
      </c>
      <c r="N206" s="19" t="s">
        <v>34</v>
      </c>
      <c r="O206" s="20"/>
      <c r="P206" s="20"/>
      <c r="Q206" s="20"/>
      <c r="R206" s="20"/>
      <c r="S206" s="21" t="s">
        <v>17</v>
      </c>
      <c r="T206" s="20" t="str">
        <f>IF(AND(C206&gt;='Campaign Metadata'!B$2,Posts!C206&lt;='Campaign Metadata'!C$2),"During","Before/After")</f>
        <v>During</v>
      </c>
      <c r="U206" s="20" t="str">
        <f>IF(AND(C206&gt;='Campaign Metadata'!B$3,Posts!C206&lt;='Campaign Metadata'!C$3),"During","Before/After")</f>
        <v>Before/After</v>
      </c>
      <c r="V206" s="20" t="str">
        <f>IF(AND(C206&gt;='Campaign Metadata'!B$4,Posts!C206&lt;='Campaign Metadata'!C$4),"During","Before/After")</f>
        <v>Before/After</v>
      </c>
      <c r="W206" s="50" t="str">
        <f>IF(AND(C206&gt;='Campaign Metadata'!B$5,Posts!C206&lt;='Campaign Metadata'!C$5),"During","Before/After")</f>
        <v>Before/After</v>
      </c>
    </row>
    <row r="207" spans="1:23" x14ac:dyDescent="0.25">
      <c r="A207" s="49" t="s">
        <v>329</v>
      </c>
      <c r="B207" s="92" t="s">
        <v>24</v>
      </c>
      <c r="C207" s="35" t="s">
        <v>330</v>
      </c>
      <c r="D207" s="17" t="s">
        <v>49</v>
      </c>
      <c r="E207" s="17" t="s">
        <v>50</v>
      </c>
      <c r="F207" s="18">
        <v>2283</v>
      </c>
      <c r="G207" s="18">
        <v>210</v>
      </c>
      <c r="H207" s="18">
        <v>130</v>
      </c>
      <c r="I207" s="18">
        <v>22830</v>
      </c>
      <c r="J207" s="18">
        <f t="shared" si="6"/>
        <v>2493.0056942619362</v>
      </c>
      <c r="K207" s="18">
        <f t="shared" si="7"/>
        <v>2623</v>
      </c>
      <c r="L207" s="18">
        <v>22617</v>
      </c>
      <c r="M207" s="18">
        <v>143</v>
      </c>
      <c r="N207" s="19" t="s">
        <v>59</v>
      </c>
      <c r="O207" s="20"/>
      <c r="P207" s="20"/>
      <c r="Q207" s="20"/>
      <c r="R207" s="20"/>
      <c r="S207" s="22" t="s">
        <v>22</v>
      </c>
      <c r="T207" s="20" t="str">
        <f>IF(AND(C207&gt;='Campaign Metadata'!B$2,Posts!C207&lt;='Campaign Metadata'!C$2),"During","Before/After")</f>
        <v>Before/After</v>
      </c>
      <c r="U207" s="20" t="str">
        <f>IF(AND(C207&gt;='Campaign Metadata'!B$3,Posts!C207&lt;='Campaign Metadata'!C$3),"During","Before/After")</f>
        <v>Before/After</v>
      </c>
      <c r="V207" s="20" t="str">
        <f>IF(AND(C207&gt;='Campaign Metadata'!B$4,Posts!C207&lt;='Campaign Metadata'!C$4),"During","Before/After")</f>
        <v>Before/After</v>
      </c>
      <c r="W207" s="50" t="str">
        <f>IF(AND(C207&gt;='Campaign Metadata'!B$5,Posts!C207&lt;='Campaign Metadata'!C$5),"During","Before/After")</f>
        <v>Before/After</v>
      </c>
    </row>
    <row r="208" spans="1:23" x14ac:dyDescent="0.25">
      <c r="A208" s="49" t="s">
        <v>222</v>
      </c>
      <c r="B208" s="92" t="s">
        <v>13</v>
      </c>
      <c r="C208" s="35" t="s">
        <v>223</v>
      </c>
      <c r="D208" s="17" t="s">
        <v>49</v>
      </c>
      <c r="E208" s="17" t="s">
        <v>128</v>
      </c>
      <c r="F208" s="18">
        <v>2214</v>
      </c>
      <c r="G208" s="18">
        <v>249</v>
      </c>
      <c r="H208" s="18">
        <v>152</v>
      </c>
      <c r="I208" s="18">
        <v>15498</v>
      </c>
      <c r="J208" s="18">
        <f t="shared" si="6"/>
        <v>2463.0098077171247</v>
      </c>
      <c r="K208" s="18">
        <f t="shared" si="7"/>
        <v>2615</v>
      </c>
      <c r="L208" s="18">
        <v>14800</v>
      </c>
      <c r="M208" s="18">
        <v>180</v>
      </c>
      <c r="N208" s="19" t="s">
        <v>34</v>
      </c>
      <c r="O208" s="20"/>
      <c r="P208" s="20"/>
      <c r="Q208" s="20"/>
      <c r="R208" s="20"/>
      <c r="S208" s="22"/>
      <c r="T208" s="20" t="str">
        <f>IF(AND(C208&gt;='Campaign Metadata'!B$2,Posts!C208&lt;='Campaign Metadata'!C$2),"During","Before/After")</f>
        <v>Before/After</v>
      </c>
      <c r="U208" s="20" t="str">
        <f>IF(AND(C208&gt;='Campaign Metadata'!B$3,Posts!C208&lt;='Campaign Metadata'!C$3),"During","Before/After")</f>
        <v>Before/After</v>
      </c>
      <c r="V208" s="20" t="str">
        <f>IF(AND(C208&gt;='Campaign Metadata'!B$4,Posts!C208&lt;='Campaign Metadata'!C$4),"During","Before/After")</f>
        <v>Before/After</v>
      </c>
      <c r="W208" s="50" t="str">
        <f>IF(AND(C208&gt;='Campaign Metadata'!B$5,Posts!C208&lt;='Campaign Metadata'!C$5),"During","Before/After")</f>
        <v>During</v>
      </c>
    </row>
    <row r="209" spans="1:23" x14ac:dyDescent="0.25">
      <c r="A209" s="49" t="s">
        <v>110</v>
      </c>
      <c r="B209" s="92" t="s">
        <v>13</v>
      </c>
      <c r="C209" s="35" t="s">
        <v>111</v>
      </c>
      <c r="D209" s="17" t="s">
        <v>42</v>
      </c>
      <c r="E209" s="17" t="s">
        <v>46</v>
      </c>
      <c r="F209" s="18">
        <v>2278</v>
      </c>
      <c r="G209" s="18">
        <v>10</v>
      </c>
      <c r="H209" s="18">
        <v>321</v>
      </c>
      <c r="I209" s="18">
        <v>13668</v>
      </c>
      <c r="J209" s="18">
        <f t="shared" si="6"/>
        <v>2288.0234855136086</v>
      </c>
      <c r="K209" s="18">
        <f t="shared" si="7"/>
        <v>2609</v>
      </c>
      <c r="L209" s="18">
        <v>12676</v>
      </c>
      <c r="M209" s="18">
        <v>275</v>
      </c>
      <c r="N209" s="19" t="s">
        <v>34</v>
      </c>
      <c r="O209" s="20"/>
      <c r="P209" s="20"/>
      <c r="Q209" s="20"/>
      <c r="R209" s="20"/>
      <c r="S209" s="21" t="s">
        <v>17</v>
      </c>
      <c r="T209" s="20" t="str">
        <f>IF(AND(C209&gt;='Campaign Metadata'!B$2,Posts!C209&lt;='Campaign Metadata'!C$2),"During","Before/After")</f>
        <v>Before/After</v>
      </c>
      <c r="U209" s="20" t="str">
        <f>IF(AND(C209&gt;='Campaign Metadata'!B$3,Posts!C209&lt;='Campaign Metadata'!C$3),"During","Before/After")</f>
        <v>Before/After</v>
      </c>
      <c r="V209" s="20" t="str">
        <f>IF(AND(C209&gt;='Campaign Metadata'!B$4,Posts!C209&lt;='Campaign Metadata'!C$4),"During","Before/After")</f>
        <v>Before/After</v>
      </c>
      <c r="W209" s="50" t="str">
        <f>IF(AND(C209&gt;='Campaign Metadata'!B$5,Posts!C209&lt;='Campaign Metadata'!C$5),"During","Before/After")</f>
        <v>Before/After</v>
      </c>
    </row>
    <row r="210" spans="1:23" x14ac:dyDescent="0.25">
      <c r="A210" s="49" t="s">
        <v>335</v>
      </c>
      <c r="B210" s="92" t="s">
        <v>30</v>
      </c>
      <c r="C210" s="35" t="s">
        <v>336</v>
      </c>
      <c r="D210" s="17" t="s">
        <v>32</v>
      </c>
      <c r="E210" s="17" t="s">
        <v>33</v>
      </c>
      <c r="F210" s="18">
        <v>1762</v>
      </c>
      <c r="G210" s="18">
        <v>405</v>
      </c>
      <c r="H210" s="18">
        <v>423</v>
      </c>
      <c r="I210" s="18">
        <v>22906</v>
      </c>
      <c r="J210" s="18">
        <f t="shared" si="6"/>
        <v>2167.0184667772637</v>
      </c>
      <c r="K210" s="18">
        <f t="shared" si="7"/>
        <v>2590</v>
      </c>
      <c r="L210" s="18">
        <v>21925</v>
      </c>
      <c r="M210" s="18">
        <v>25</v>
      </c>
      <c r="N210" s="19" t="s">
        <v>27</v>
      </c>
      <c r="O210" s="20"/>
      <c r="P210" s="20"/>
      <c r="Q210" s="20"/>
      <c r="R210" s="20"/>
      <c r="S210" s="21" t="s">
        <v>17</v>
      </c>
      <c r="T210" s="20" t="str">
        <f>IF(AND(C210&gt;='Campaign Metadata'!B$2,Posts!C210&lt;='Campaign Metadata'!C$2),"During","Before/After")</f>
        <v>Before/After</v>
      </c>
      <c r="U210" s="20" t="str">
        <f>IF(AND(C210&gt;='Campaign Metadata'!B$3,Posts!C210&lt;='Campaign Metadata'!C$3),"During","Before/After")</f>
        <v>Before/After</v>
      </c>
      <c r="V210" s="20" t="str">
        <f>IF(AND(C210&gt;='Campaign Metadata'!B$4,Posts!C210&lt;='Campaign Metadata'!C$4),"During","Before/After")</f>
        <v>Before/After</v>
      </c>
      <c r="W210" s="50" t="str">
        <f>IF(AND(C210&gt;='Campaign Metadata'!B$5,Posts!C210&lt;='Campaign Metadata'!C$5),"During","Before/After")</f>
        <v>Before/After</v>
      </c>
    </row>
    <row r="211" spans="1:23" x14ac:dyDescent="0.25">
      <c r="A211" s="49" t="s">
        <v>544</v>
      </c>
      <c r="B211" s="92" t="s">
        <v>13</v>
      </c>
      <c r="C211" s="35" t="s">
        <v>426</v>
      </c>
      <c r="D211" s="17" t="s">
        <v>49</v>
      </c>
      <c r="E211" s="17" t="s">
        <v>128</v>
      </c>
      <c r="F211" s="18">
        <v>1952</v>
      </c>
      <c r="G211" s="18">
        <v>344</v>
      </c>
      <c r="H211" s="18">
        <v>287</v>
      </c>
      <c r="I211" s="18">
        <v>15616</v>
      </c>
      <c r="J211" s="18">
        <f t="shared" si="6"/>
        <v>2296.0183785860654</v>
      </c>
      <c r="K211" s="18">
        <f t="shared" si="7"/>
        <v>2583</v>
      </c>
      <c r="L211" s="18">
        <v>15403</v>
      </c>
      <c r="M211" s="18">
        <v>235</v>
      </c>
      <c r="N211" s="19" t="s">
        <v>59</v>
      </c>
      <c r="O211" s="20" t="s">
        <v>27</v>
      </c>
      <c r="P211" s="20" t="s">
        <v>597</v>
      </c>
      <c r="Q211" s="20"/>
      <c r="R211" s="20"/>
      <c r="S211" s="22" t="s">
        <v>22</v>
      </c>
      <c r="T211" s="20" t="str">
        <f>IF(AND(C211&gt;='Campaign Metadata'!B$2,Posts!C211&lt;='Campaign Metadata'!C$2),"During","Before/After")</f>
        <v>Before/After</v>
      </c>
      <c r="U211" s="20" t="str">
        <f>IF(AND(C211&gt;='Campaign Metadata'!B$3,Posts!C211&lt;='Campaign Metadata'!C$3),"During","Before/After")</f>
        <v>Before/After</v>
      </c>
      <c r="V211" s="20" t="str">
        <f>IF(AND(C211&gt;='Campaign Metadata'!B$4,Posts!C211&lt;='Campaign Metadata'!C$4),"During","Before/After")</f>
        <v>Before/After</v>
      </c>
      <c r="W211" s="50" t="str">
        <f>IF(AND(C211&gt;='Campaign Metadata'!B$5,Posts!C211&lt;='Campaign Metadata'!C$5),"During","Before/After")</f>
        <v>Before/After</v>
      </c>
    </row>
    <row r="212" spans="1:23" x14ac:dyDescent="0.25">
      <c r="A212" s="49" t="s">
        <v>476</v>
      </c>
      <c r="B212" s="92" t="s">
        <v>30</v>
      </c>
      <c r="C212" s="35" t="s">
        <v>477</v>
      </c>
      <c r="D212" s="17" t="s">
        <v>42</v>
      </c>
      <c r="E212" s="17" t="s">
        <v>85</v>
      </c>
      <c r="F212" s="18">
        <v>1377</v>
      </c>
      <c r="G212" s="18">
        <v>796</v>
      </c>
      <c r="H212" s="18">
        <v>387</v>
      </c>
      <c r="I212" s="18">
        <v>22032</v>
      </c>
      <c r="J212" s="18">
        <f t="shared" si="6"/>
        <v>2173.017565359477</v>
      </c>
      <c r="K212" s="18">
        <f t="shared" si="7"/>
        <v>2560</v>
      </c>
      <c r="L212" s="18">
        <v>21869</v>
      </c>
      <c r="M212" s="18">
        <v>189</v>
      </c>
      <c r="N212" s="19" t="s">
        <v>59</v>
      </c>
      <c r="O212" s="20"/>
      <c r="P212" s="20"/>
      <c r="Q212" s="20"/>
      <c r="R212" s="20"/>
      <c r="S212" s="22"/>
      <c r="T212" s="20" t="str">
        <f>IF(AND(C212&gt;='Campaign Metadata'!B$2,Posts!C212&lt;='Campaign Metadata'!C$2),"During","Before/After")</f>
        <v>Before/After</v>
      </c>
      <c r="U212" s="20" t="str">
        <f>IF(AND(C212&gt;='Campaign Metadata'!B$3,Posts!C212&lt;='Campaign Metadata'!C$3),"During","Before/After")</f>
        <v>During</v>
      </c>
      <c r="V212" s="20" t="str">
        <f>IF(AND(C212&gt;='Campaign Metadata'!B$4,Posts!C212&lt;='Campaign Metadata'!C$4),"During","Before/After")</f>
        <v>Before/After</v>
      </c>
      <c r="W212" s="50" t="str">
        <f>IF(AND(C212&gt;='Campaign Metadata'!B$5,Posts!C212&lt;='Campaign Metadata'!C$5),"During","Before/After")</f>
        <v>Before/After</v>
      </c>
    </row>
    <row r="213" spans="1:23" x14ac:dyDescent="0.25">
      <c r="A213" s="49" t="s">
        <v>396</v>
      </c>
      <c r="B213" s="92" t="s">
        <v>30</v>
      </c>
      <c r="C213" s="35" t="s">
        <v>397</v>
      </c>
      <c r="D213" s="17" t="s">
        <v>20</v>
      </c>
      <c r="E213" s="17" t="s">
        <v>109</v>
      </c>
      <c r="F213" s="18">
        <v>1813</v>
      </c>
      <c r="G213" s="18">
        <v>623</v>
      </c>
      <c r="H213" s="18">
        <v>72</v>
      </c>
      <c r="I213" s="18">
        <v>19943</v>
      </c>
      <c r="J213" s="18">
        <f t="shared" si="6"/>
        <v>2436.0036102893246</v>
      </c>
      <c r="K213" s="18">
        <f t="shared" si="7"/>
        <v>2508</v>
      </c>
      <c r="L213" s="18">
        <v>18959</v>
      </c>
      <c r="M213" s="18">
        <v>85</v>
      </c>
      <c r="N213" s="19" t="s">
        <v>34</v>
      </c>
      <c r="O213" s="20"/>
      <c r="P213" s="20"/>
      <c r="Q213" s="20"/>
      <c r="R213" s="20"/>
      <c r="S213" s="22" t="s">
        <v>28</v>
      </c>
      <c r="T213" s="20" t="str">
        <f>IF(AND(C213&gt;='Campaign Metadata'!B$2,Posts!C213&lt;='Campaign Metadata'!C$2),"During","Before/After")</f>
        <v>Before/After</v>
      </c>
      <c r="U213" s="20" t="str">
        <f>IF(AND(C213&gt;='Campaign Metadata'!B$3,Posts!C213&lt;='Campaign Metadata'!C$3),"During","Before/After")</f>
        <v>Before/After</v>
      </c>
      <c r="V213" s="20" t="str">
        <f>IF(AND(C213&gt;='Campaign Metadata'!B$4,Posts!C213&lt;='Campaign Metadata'!C$4),"During","Before/After")</f>
        <v>Before/After</v>
      </c>
      <c r="W213" s="50" t="str">
        <f>IF(AND(C213&gt;='Campaign Metadata'!B$5,Posts!C213&lt;='Campaign Metadata'!C$5),"During","Before/After")</f>
        <v>Before/After</v>
      </c>
    </row>
    <row r="214" spans="1:23" x14ac:dyDescent="0.25">
      <c r="A214" s="49" t="s">
        <v>177</v>
      </c>
      <c r="B214" s="92" t="s">
        <v>30</v>
      </c>
      <c r="C214" s="35" t="s">
        <v>178</v>
      </c>
      <c r="D214" s="17" t="s">
        <v>32</v>
      </c>
      <c r="E214" s="17" t="s">
        <v>33</v>
      </c>
      <c r="F214" s="18">
        <v>1881</v>
      </c>
      <c r="G214" s="18">
        <v>501</v>
      </c>
      <c r="H214" s="18">
        <v>99</v>
      </c>
      <c r="I214" s="18">
        <v>20691</v>
      </c>
      <c r="J214" s="18">
        <f t="shared" si="6"/>
        <v>2382.0047846889952</v>
      </c>
      <c r="K214" s="18">
        <f t="shared" si="7"/>
        <v>2481</v>
      </c>
      <c r="L214" s="18">
        <v>19987</v>
      </c>
      <c r="M214" s="18">
        <v>289</v>
      </c>
      <c r="N214" s="19" t="s">
        <v>34</v>
      </c>
      <c r="O214" s="20"/>
      <c r="P214" s="20"/>
      <c r="Q214" s="20"/>
      <c r="R214" s="20"/>
      <c r="S214" s="22"/>
      <c r="T214" s="20" t="str">
        <f>IF(AND(C214&gt;='Campaign Metadata'!B$2,Posts!C214&lt;='Campaign Metadata'!C$2),"During","Before/After")</f>
        <v>Before/After</v>
      </c>
      <c r="U214" s="20" t="str">
        <f>IF(AND(C214&gt;='Campaign Metadata'!B$3,Posts!C214&lt;='Campaign Metadata'!C$3),"During","Before/After")</f>
        <v>During</v>
      </c>
      <c r="V214" s="20" t="str">
        <f>IF(AND(C214&gt;='Campaign Metadata'!B$4,Posts!C214&lt;='Campaign Metadata'!C$4),"During","Before/After")</f>
        <v>Before/After</v>
      </c>
      <c r="W214" s="50" t="str">
        <f>IF(AND(C214&gt;='Campaign Metadata'!B$5,Posts!C214&lt;='Campaign Metadata'!C$5),"During","Before/After")</f>
        <v>Before/After</v>
      </c>
    </row>
    <row r="215" spans="1:23" x14ac:dyDescent="0.25">
      <c r="A215" s="49" t="s">
        <v>90</v>
      </c>
      <c r="B215" s="92" t="s">
        <v>40</v>
      </c>
      <c r="C215" s="35" t="s">
        <v>91</v>
      </c>
      <c r="D215" s="17" t="s">
        <v>71</v>
      </c>
      <c r="E215" s="17" t="s">
        <v>72</v>
      </c>
      <c r="F215" s="18">
        <v>1606</v>
      </c>
      <c r="G215" s="18">
        <v>547</v>
      </c>
      <c r="H215" s="18">
        <v>316</v>
      </c>
      <c r="I215" s="18">
        <v>32120</v>
      </c>
      <c r="J215" s="18">
        <f t="shared" si="6"/>
        <v>2153.0098381070984</v>
      </c>
      <c r="K215" s="18">
        <f t="shared" si="7"/>
        <v>2469</v>
      </c>
      <c r="L215" s="18">
        <v>31736</v>
      </c>
      <c r="M215" s="18">
        <v>225</v>
      </c>
      <c r="N215" s="19" t="s">
        <v>27</v>
      </c>
      <c r="O215" s="20" t="s">
        <v>597</v>
      </c>
      <c r="P215" s="20"/>
      <c r="Q215" s="20"/>
      <c r="R215" s="20"/>
      <c r="S215" s="22" t="s">
        <v>22</v>
      </c>
      <c r="T215" s="20" t="str">
        <f>IF(AND(C215&gt;='Campaign Metadata'!B$2,Posts!C215&lt;='Campaign Metadata'!C$2),"During","Before/After")</f>
        <v>Before/After</v>
      </c>
      <c r="U215" s="20" t="str">
        <f>IF(AND(C215&gt;='Campaign Metadata'!B$3,Posts!C215&lt;='Campaign Metadata'!C$3),"During","Before/After")</f>
        <v>Before/After</v>
      </c>
      <c r="V215" s="20" t="str">
        <f>IF(AND(C215&gt;='Campaign Metadata'!B$4,Posts!C215&lt;='Campaign Metadata'!C$4),"During","Before/After")</f>
        <v>Before/After</v>
      </c>
      <c r="W215" s="50" t="str">
        <f>IF(AND(C215&gt;='Campaign Metadata'!B$5,Posts!C215&lt;='Campaign Metadata'!C$5),"During","Before/After")</f>
        <v>Before/After</v>
      </c>
    </row>
    <row r="216" spans="1:23" x14ac:dyDescent="0.25">
      <c r="A216" s="49" t="s">
        <v>274</v>
      </c>
      <c r="B216" s="92" t="s">
        <v>13</v>
      </c>
      <c r="C216" s="35" t="s">
        <v>275</v>
      </c>
      <c r="D216" s="17" t="s">
        <v>49</v>
      </c>
      <c r="E216" s="17" t="s">
        <v>128</v>
      </c>
      <c r="F216" s="18">
        <v>1606</v>
      </c>
      <c r="G216" s="18">
        <v>451</v>
      </c>
      <c r="H216" s="18">
        <v>405</v>
      </c>
      <c r="I216" s="18">
        <v>20878</v>
      </c>
      <c r="J216" s="18">
        <f t="shared" si="6"/>
        <v>2057.0193984098096</v>
      </c>
      <c r="K216" s="18">
        <f t="shared" si="7"/>
        <v>2462</v>
      </c>
      <c r="L216" s="18">
        <v>20190</v>
      </c>
      <c r="M216" s="18">
        <v>219</v>
      </c>
      <c r="N216" s="19" t="s">
        <v>34</v>
      </c>
      <c r="O216" s="20"/>
      <c r="P216" s="20"/>
      <c r="Q216" s="20"/>
      <c r="R216" s="20"/>
      <c r="S216" s="22" t="s">
        <v>35</v>
      </c>
      <c r="T216" s="20" t="str">
        <f>IF(AND(C216&gt;='Campaign Metadata'!B$2,Posts!C216&lt;='Campaign Metadata'!C$2),"During","Before/After")</f>
        <v>Before/After</v>
      </c>
      <c r="U216" s="20" t="str">
        <f>IF(AND(C216&gt;='Campaign Metadata'!B$3,Posts!C216&lt;='Campaign Metadata'!C$3),"During","Before/After")</f>
        <v>Before/After</v>
      </c>
      <c r="V216" s="20" t="str">
        <f>IF(AND(C216&gt;='Campaign Metadata'!B$4,Posts!C216&lt;='Campaign Metadata'!C$4),"During","Before/After")</f>
        <v>Before/After</v>
      </c>
      <c r="W216" s="50" t="str">
        <f>IF(AND(C216&gt;='Campaign Metadata'!B$5,Posts!C216&lt;='Campaign Metadata'!C$5),"During","Before/After")</f>
        <v>Before/After</v>
      </c>
    </row>
    <row r="217" spans="1:23" x14ac:dyDescent="0.25">
      <c r="A217" s="49" t="s">
        <v>406</v>
      </c>
      <c r="B217" s="92" t="s">
        <v>40</v>
      </c>
      <c r="C217" s="35" t="s">
        <v>407</v>
      </c>
      <c r="D217" s="17" t="s">
        <v>49</v>
      </c>
      <c r="E217" s="17" t="s">
        <v>56</v>
      </c>
      <c r="F217" s="18">
        <v>1871</v>
      </c>
      <c r="G217" s="18">
        <v>252</v>
      </c>
      <c r="H217" s="18">
        <v>335</v>
      </c>
      <c r="I217" s="18">
        <v>29936</v>
      </c>
      <c r="J217" s="18">
        <f t="shared" si="6"/>
        <v>2123.0111905398185</v>
      </c>
      <c r="K217" s="18">
        <f t="shared" si="7"/>
        <v>2458</v>
      </c>
      <c r="L217" s="18">
        <v>29576</v>
      </c>
      <c r="M217" s="18">
        <v>288</v>
      </c>
      <c r="N217" s="19" t="s">
        <v>34</v>
      </c>
      <c r="O217" s="20"/>
      <c r="P217" s="20"/>
      <c r="Q217" s="20"/>
      <c r="R217" s="20"/>
      <c r="S217" s="22" t="s">
        <v>28</v>
      </c>
      <c r="T217" s="20" t="str">
        <f>IF(AND(C217&gt;='Campaign Metadata'!B$2,Posts!C217&lt;='Campaign Metadata'!C$2),"During","Before/After")</f>
        <v>Before/After</v>
      </c>
      <c r="U217" s="20" t="str">
        <f>IF(AND(C217&gt;='Campaign Metadata'!B$3,Posts!C217&lt;='Campaign Metadata'!C$3),"During","Before/After")</f>
        <v>Before/After</v>
      </c>
      <c r="V217" s="20" t="str">
        <f>IF(AND(C217&gt;='Campaign Metadata'!B$4,Posts!C217&lt;='Campaign Metadata'!C$4),"During","Before/After")</f>
        <v>Before/After</v>
      </c>
      <c r="W217" s="50" t="str">
        <f>IF(AND(C217&gt;='Campaign Metadata'!B$5,Posts!C217&lt;='Campaign Metadata'!C$5),"During","Before/After")</f>
        <v>Before/After</v>
      </c>
    </row>
    <row r="218" spans="1:23" x14ac:dyDescent="0.25">
      <c r="A218" s="49" t="s">
        <v>185</v>
      </c>
      <c r="B218" s="92" t="s">
        <v>13</v>
      </c>
      <c r="C218" s="35" t="s">
        <v>130</v>
      </c>
      <c r="D218" s="17" t="s">
        <v>20</v>
      </c>
      <c r="E218" s="17" t="s">
        <v>21</v>
      </c>
      <c r="F218" s="18">
        <v>1292</v>
      </c>
      <c r="G218" s="18">
        <v>626</v>
      </c>
      <c r="H218" s="18">
        <v>496</v>
      </c>
      <c r="I218" s="18">
        <v>25840</v>
      </c>
      <c r="J218" s="18">
        <f t="shared" si="6"/>
        <v>1918.0191950464396</v>
      </c>
      <c r="K218" s="18">
        <f t="shared" si="7"/>
        <v>2414</v>
      </c>
      <c r="L218" s="18">
        <v>24916</v>
      </c>
      <c r="M218" s="18">
        <v>149</v>
      </c>
      <c r="N218" s="19" t="s">
        <v>59</v>
      </c>
      <c r="O218" s="20"/>
      <c r="P218" s="20"/>
      <c r="Q218" s="20"/>
      <c r="R218" s="20"/>
      <c r="S218" s="22" t="s">
        <v>28</v>
      </c>
      <c r="T218" s="20" t="str">
        <f>IF(AND(C218&gt;='Campaign Metadata'!B$2,Posts!C218&lt;='Campaign Metadata'!C$2),"During","Before/After")</f>
        <v>Before/After</v>
      </c>
      <c r="U218" s="20" t="str">
        <f>IF(AND(C218&gt;='Campaign Metadata'!B$3,Posts!C218&lt;='Campaign Metadata'!C$3),"During","Before/After")</f>
        <v>During</v>
      </c>
      <c r="V218" s="20" t="str">
        <f>IF(AND(C218&gt;='Campaign Metadata'!B$4,Posts!C218&lt;='Campaign Metadata'!C$4),"During","Before/After")</f>
        <v>Before/After</v>
      </c>
      <c r="W218" s="50" t="str">
        <f>IF(AND(C218&gt;='Campaign Metadata'!B$5,Posts!C218&lt;='Campaign Metadata'!C$5),"During","Before/After")</f>
        <v>Before/After</v>
      </c>
    </row>
    <row r="219" spans="1:23" x14ac:dyDescent="0.25">
      <c r="A219" s="49" t="s">
        <v>229</v>
      </c>
      <c r="B219" s="92" t="s">
        <v>30</v>
      </c>
      <c r="C219" s="35" t="s">
        <v>230</v>
      </c>
      <c r="D219" s="17" t="s">
        <v>71</v>
      </c>
      <c r="E219" s="17" t="s">
        <v>82</v>
      </c>
      <c r="F219" s="18">
        <v>1431</v>
      </c>
      <c r="G219" s="18">
        <v>951</v>
      </c>
      <c r="H219" s="18">
        <v>26</v>
      </c>
      <c r="I219" s="18">
        <v>8586</v>
      </c>
      <c r="J219" s="18">
        <f t="shared" si="6"/>
        <v>2382.0030281854183</v>
      </c>
      <c r="K219" s="18">
        <f t="shared" si="7"/>
        <v>2408</v>
      </c>
      <c r="L219" s="18">
        <v>8396</v>
      </c>
      <c r="M219" s="18">
        <v>150</v>
      </c>
      <c r="N219" s="19" t="s">
        <v>34</v>
      </c>
      <c r="O219" s="20"/>
      <c r="P219" s="20"/>
      <c r="Q219" s="20"/>
      <c r="R219" s="20"/>
      <c r="S219" s="22" t="s">
        <v>28</v>
      </c>
      <c r="T219" s="20" t="str">
        <f>IF(AND(C219&gt;='Campaign Metadata'!B$2,Posts!C219&lt;='Campaign Metadata'!C$2),"During","Before/After")</f>
        <v>Before/After</v>
      </c>
      <c r="U219" s="20" t="str">
        <f>IF(AND(C219&gt;='Campaign Metadata'!B$3,Posts!C219&lt;='Campaign Metadata'!C$3),"During","Before/After")</f>
        <v>Before/After</v>
      </c>
      <c r="V219" s="20" t="str">
        <f>IF(AND(C219&gt;='Campaign Metadata'!B$4,Posts!C219&lt;='Campaign Metadata'!C$4),"During","Before/After")</f>
        <v>Before/After</v>
      </c>
      <c r="W219" s="50" t="str">
        <f>IF(AND(C219&gt;='Campaign Metadata'!B$5,Posts!C219&lt;='Campaign Metadata'!C$5),"During","Before/After")</f>
        <v>Before/After</v>
      </c>
    </row>
    <row r="220" spans="1:23" x14ac:dyDescent="0.25">
      <c r="A220" s="49" t="s">
        <v>98</v>
      </c>
      <c r="B220" s="92" t="s">
        <v>24</v>
      </c>
      <c r="C220" s="35" t="s">
        <v>99</v>
      </c>
      <c r="D220" s="17" t="s">
        <v>20</v>
      </c>
      <c r="E220" s="17" t="s">
        <v>100</v>
      </c>
      <c r="F220" s="18">
        <v>2076</v>
      </c>
      <c r="G220" s="18">
        <v>195</v>
      </c>
      <c r="H220" s="18">
        <v>104</v>
      </c>
      <c r="I220" s="18">
        <v>33216</v>
      </c>
      <c r="J220" s="18">
        <f t="shared" si="6"/>
        <v>2271.0031310211948</v>
      </c>
      <c r="K220" s="18">
        <f t="shared" si="7"/>
        <v>2375</v>
      </c>
      <c r="L220" s="18">
        <v>32244</v>
      </c>
      <c r="M220" s="18">
        <v>51</v>
      </c>
      <c r="N220" s="19" t="s">
        <v>59</v>
      </c>
      <c r="O220" s="20"/>
      <c r="P220" s="20"/>
      <c r="Q220" s="20"/>
      <c r="R220" s="20"/>
      <c r="S220" s="22" t="s">
        <v>35</v>
      </c>
      <c r="T220" s="20" t="str">
        <f>IF(AND(C220&gt;='Campaign Metadata'!B$2,Posts!C220&lt;='Campaign Metadata'!C$2),"During","Before/After")</f>
        <v>Before/After</v>
      </c>
      <c r="U220" s="20" t="str">
        <f>IF(AND(C220&gt;='Campaign Metadata'!B$3,Posts!C220&lt;='Campaign Metadata'!C$3),"During","Before/After")</f>
        <v>Before/After</v>
      </c>
      <c r="V220" s="20" t="str">
        <f>IF(AND(C220&gt;='Campaign Metadata'!B$4,Posts!C220&lt;='Campaign Metadata'!C$4),"During","Before/After")</f>
        <v>Before/After</v>
      </c>
      <c r="W220" s="50" t="str">
        <f>IF(AND(C220&gt;='Campaign Metadata'!B$5,Posts!C220&lt;='Campaign Metadata'!C$5),"During","Before/After")</f>
        <v>Before/After</v>
      </c>
    </row>
    <row r="221" spans="1:23" x14ac:dyDescent="0.25">
      <c r="A221" s="49" t="s">
        <v>419</v>
      </c>
      <c r="B221" s="92" t="s">
        <v>13</v>
      </c>
      <c r="C221" s="35" t="s">
        <v>420</v>
      </c>
      <c r="D221" s="17" t="s">
        <v>42</v>
      </c>
      <c r="E221" s="17" t="s">
        <v>46</v>
      </c>
      <c r="F221" s="18">
        <v>2120</v>
      </c>
      <c r="G221" s="18">
        <v>38</v>
      </c>
      <c r="H221" s="18">
        <v>212</v>
      </c>
      <c r="I221" s="18">
        <v>12720</v>
      </c>
      <c r="J221" s="18">
        <f t="shared" si="6"/>
        <v>2158.0166666666669</v>
      </c>
      <c r="K221" s="18">
        <f t="shared" si="7"/>
        <v>2370</v>
      </c>
      <c r="L221" s="18">
        <v>12564</v>
      </c>
      <c r="M221" s="18">
        <v>21</v>
      </c>
      <c r="N221" s="19" t="s">
        <v>59</v>
      </c>
      <c r="O221" s="20"/>
      <c r="P221" s="20"/>
      <c r="Q221" s="20"/>
      <c r="R221" s="20"/>
      <c r="S221" s="22" t="s">
        <v>35</v>
      </c>
      <c r="T221" s="20" t="str">
        <f>IF(AND(C221&gt;='Campaign Metadata'!B$2,Posts!C221&lt;='Campaign Metadata'!C$2),"During","Before/After")</f>
        <v>Before/After</v>
      </c>
      <c r="U221" s="20" t="str">
        <f>IF(AND(C221&gt;='Campaign Metadata'!B$3,Posts!C221&lt;='Campaign Metadata'!C$3),"During","Before/After")</f>
        <v>Before/After</v>
      </c>
      <c r="V221" s="20" t="str">
        <f>IF(AND(C221&gt;='Campaign Metadata'!B$4,Posts!C221&lt;='Campaign Metadata'!C$4),"During","Before/After")</f>
        <v>Before/After</v>
      </c>
      <c r="W221" s="50" t="str">
        <f>IF(AND(C221&gt;='Campaign Metadata'!B$5,Posts!C221&lt;='Campaign Metadata'!C$5),"During","Before/After")</f>
        <v>Before/After</v>
      </c>
    </row>
    <row r="222" spans="1:23" x14ac:dyDescent="0.25">
      <c r="A222" s="49" t="s">
        <v>484</v>
      </c>
      <c r="B222" s="92" t="s">
        <v>24</v>
      </c>
      <c r="C222" s="35" t="s">
        <v>245</v>
      </c>
      <c r="D222" s="17" t="s">
        <v>42</v>
      </c>
      <c r="E222" s="17" t="s">
        <v>65</v>
      </c>
      <c r="F222" s="18">
        <v>2143</v>
      </c>
      <c r="G222" s="18">
        <v>12</v>
      </c>
      <c r="H222" s="18">
        <v>204</v>
      </c>
      <c r="I222" s="18">
        <v>40717</v>
      </c>
      <c r="J222" s="18">
        <f t="shared" si="6"/>
        <v>2155.005010192303</v>
      </c>
      <c r="K222" s="18">
        <f t="shared" si="7"/>
        <v>2359</v>
      </c>
      <c r="L222" s="18">
        <v>40125</v>
      </c>
      <c r="M222" s="18">
        <v>248</v>
      </c>
      <c r="N222" s="19" t="s">
        <v>34</v>
      </c>
      <c r="O222" s="20"/>
      <c r="P222" s="20"/>
      <c r="Q222" s="20"/>
      <c r="R222" s="20"/>
      <c r="S222" s="22" t="s">
        <v>22</v>
      </c>
      <c r="T222" s="20" t="str">
        <f>IF(AND(C222&gt;='Campaign Metadata'!B$2,Posts!C222&lt;='Campaign Metadata'!C$2),"During","Before/After")</f>
        <v>Before/After</v>
      </c>
      <c r="U222" s="20" t="str">
        <f>IF(AND(C222&gt;='Campaign Metadata'!B$3,Posts!C222&lt;='Campaign Metadata'!C$3),"During","Before/After")</f>
        <v>Before/After</v>
      </c>
      <c r="V222" s="20" t="str">
        <f>IF(AND(C222&gt;='Campaign Metadata'!B$4,Posts!C222&lt;='Campaign Metadata'!C$4),"During","Before/After")</f>
        <v>Before/After</v>
      </c>
      <c r="W222" s="50" t="str">
        <f>IF(AND(C222&gt;='Campaign Metadata'!B$5,Posts!C222&lt;='Campaign Metadata'!C$5),"During","Before/After")</f>
        <v>Before/After</v>
      </c>
    </row>
    <row r="223" spans="1:23" x14ac:dyDescent="0.25">
      <c r="A223" s="49" t="s">
        <v>382</v>
      </c>
      <c r="B223" s="92" t="s">
        <v>13</v>
      </c>
      <c r="C223" s="35" t="s">
        <v>383</v>
      </c>
      <c r="D223" s="17" t="s">
        <v>15</v>
      </c>
      <c r="E223" s="17" t="s">
        <v>16</v>
      </c>
      <c r="F223" s="18">
        <v>1644</v>
      </c>
      <c r="G223" s="18">
        <v>546</v>
      </c>
      <c r="H223" s="18">
        <v>150</v>
      </c>
      <c r="I223" s="18">
        <v>27948</v>
      </c>
      <c r="J223" s="18">
        <f t="shared" si="6"/>
        <v>2190.0053671103478</v>
      </c>
      <c r="K223" s="18">
        <f t="shared" si="7"/>
        <v>2340</v>
      </c>
      <c r="L223" s="18">
        <v>27184</v>
      </c>
      <c r="M223" s="18">
        <v>300</v>
      </c>
      <c r="N223" s="19" t="s">
        <v>34</v>
      </c>
      <c r="O223" s="20"/>
      <c r="P223" s="20"/>
      <c r="Q223" s="20"/>
      <c r="R223" s="20"/>
      <c r="S223" s="22" t="s">
        <v>28</v>
      </c>
      <c r="T223" s="20" t="str">
        <f>IF(AND(C223&gt;='Campaign Metadata'!B$2,Posts!C223&lt;='Campaign Metadata'!C$2),"During","Before/After")</f>
        <v>Before/After</v>
      </c>
      <c r="U223" s="20" t="str">
        <f>IF(AND(C223&gt;='Campaign Metadata'!B$3,Posts!C223&lt;='Campaign Metadata'!C$3),"During","Before/After")</f>
        <v>Before/After</v>
      </c>
      <c r="V223" s="20" t="str">
        <f>IF(AND(C223&gt;='Campaign Metadata'!B$4,Posts!C223&lt;='Campaign Metadata'!C$4),"During","Before/After")</f>
        <v>Before/After</v>
      </c>
      <c r="W223" s="50" t="str">
        <f>IF(AND(C223&gt;='Campaign Metadata'!B$5,Posts!C223&lt;='Campaign Metadata'!C$5),"During","Before/After")</f>
        <v>Before/After</v>
      </c>
    </row>
    <row r="224" spans="1:23" x14ac:dyDescent="0.25">
      <c r="A224" s="49" t="s">
        <v>360</v>
      </c>
      <c r="B224" s="92" t="s">
        <v>13</v>
      </c>
      <c r="C224" s="35" t="s">
        <v>361</v>
      </c>
      <c r="D224" s="17" t="s">
        <v>71</v>
      </c>
      <c r="E224" s="17" t="s">
        <v>141</v>
      </c>
      <c r="F224" s="18">
        <v>1330</v>
      </c>
      <c r="G224" s="18">
        <v>925</v>
      </c>
      <c r="H224" s="18">
        <v>35</v>
      </c>
      <c r="I224" s="18">
        <v>15960</v>
      </c>
      <c r="J224" s="18">
        <f t="shared" si="6"/>
        <v>2255.0021929824561</v>
      </c>
      <c r="K224" s="18">
        <f t="shared" si="7"/>
        <v>2290</v>
      </c>
      <c r="L224" s="18">
        <v>15379</v>
      </c>
      <c r="M224" s="18">
        <v>229</v>
      </c>
      <c r="N224" s="19" t="s">
        <v>59</v>
      </c>
      <c r="O224" s="20"/>
      <c r="P224" s="20"/>
      <c r="Q224" s="20"/>
      <c r="R224" s="20"/>
      <c r="S224" s="22" t="s">
        <v>28</v>
      </c>
      <c r="T224" s="20" t="str">
        <f>IF(AND(C224&gt;='Campaign Metadata'!B$2,Posts!C224&lt;='Campaign Metadata'!C$2),"During","Before/After")</f>
        <v>Before/After</v>
      </c>
      <c r="U224" s="20" t="str">
        <f>IF(AND(C224&gt;='Campaign Metadata'!B$3,Posts!C224&lt;='Campaign Metadata'!C$3),"During","Before/After")</f>
        <v>Before/After</v>
      </c>
      <c r="V224" s="20" t="str">
        <f>IF(AND(C224&gt;='Campaign Metadata'!B$4,Posts!C224&lt;='Campaign Metadata'!C$4),"During","Before/After")</f>
        <v>Before/After</v>
      </c>
      <c r="W224" s="50" t="str">
        <f>IF(AND(C224&gt;='Campaign Metadata'!B$5,Posts!C224&lt;='Campaign Metadata'!C$5),"During","Before/After")</f>
        <v>Before/After</v>
      </c>
    </row>
    <row r="225" spans="1:23" x14ac:dyDescent="0.25">
      <c r="A225" s="49" t="s">
        <v>241</v>
      </c>
      <c r="B225" s="92" t="s">
        <v>24</v>
      </c>
      <c r="C225" s="35" t="s">
        <v>242</v>
      </c>
      <c r="D225" s="17" t="s">
        <v>71</v>
      </c>
      <c r="E225" s="17" t="s">
        <v>212</v>
      </c>
      <c r="F225" s="18">
        <v>1766</v>
      </c>
      <c r="G225" s="18">
        <v>92</v>
      </c>
      <c r="H225" s="18">
        <v>424</v>
      </c>
      <c r="I225" s="18">
        <v>24724</v>
      </c>
      <c r="J225" s="18">
        <f t="shared" si="6"/>
        <v>1858.0171493285877</v>
      </c>
      <c r="K225" s="18">
        <f t="shared" si="7"/>
        <v>2282</v>
      </c>
      <c r="L225" s="18">
        <v>24333</v>
      </c>
      <c r="M225" s="18">
        <v>52</v>
      </c>
      <c r="N225" s="19" t="s">
        <v>34</v>
      </c>
      <c r="O225" s="20"/>
      <c r="P225" s="20"/>
      <c r="Q225" s="20"/>
      <c r="R225" s="20"/>
      <c r="S225" s="22"/>
      <c r="T225" s="20" t="str">
        <f>IF(AND(C225&gt;='Campaign Metadata'!B$2,Posts!C225&lt;='Campaign Metadata'!C$2),"During","Before/After")</f>
        <v>Before/After</v>
      </c>
      <c r="U225" s="20" t="str">
        <f>IF(AND(C225&gt;='Campaign Metadata'!B$3,Posts!C225&lt;='Campaign Metadata'!C$3),"During","Before/After")</f>
        <v>Before/After</v>
      </c>
      <c r="V225" s="20" t="str">
        <f>IF(AND(C225&gt;='Campaign Metadata'!B$4,Posts!C225&lt;='Campaign Metadata'!C$4),"During","Before/After")</f>
        <v>Before/After</v>
      </c>
      <c r="W225" s="50" t="str">
        <f>IF(AND(C225&gt;='Campaign Metadata'!B$5,Posts!C225&lt;='Campaign Metadata'!C$5),"During","Before/After")</f>
        <v>Before/After</v>
      </c>
    </row>
    <row r="226" spans="1:23" x14ac:dyDescent="0.25">
      <c r="A226" s="49" t="s">
        <v>194</v>
      </c>
      <c r="B226" s="92" t="s">
        <v>24</v>
      </c>
      <c r="C226" s="35" t="s">
        <v>195</v>
      </c>
      <c r="D226" s="17" t="s">
        <v>15</v>
      </c>
      <c r="E226" s="17" t="s">
        <v>26</v>
      </c>
      <c r="F226" s="18">
        <v>1855</v>
      </c>
      <c r="G226" s="18">
        <v>200</v>
      </c>
      <c r="H226" s="18">
        <v>174</v>
      </c>
      <c r="I226" s="18">
        <v>16695</v>
      </c>
      <c r="J226" s="18">
        <f t="shared" si="6"/>
        <v>2055.0104222821205</v>
      </c>
      <c r="K226" s="18">
        <f t="shared" si="7"/>
        <v>2229</v>
      </c>
      <c r="L226" s="18">
        <v>16330</v>
      </c>
      <c r="M226" s="18">
        <v>123</v>
      </c>
      <c r="N226" s="19" t="s">
        <v>27</v>
      </c>
      <c r="O226" s="20"/>
      <c r="P226" s="20"/>
      <c r="Q226" s="20"/>
      <c r="R226" s="20"/>
      <c r="S226" s="22" t="s">
        <v>28</v>
      </c>
      <c r="T226" s="20" t="str">
        <f>IF(AND(C226&gt;='Campaign Metadata'!B$2,Posts!C226&lt;='Campaign Metadata'!C$2),"During","Before/After")</f>
        <v>Before/After</v>
      </c>
      <c r="U226" s="20" t="str">
        <f>IF(AND(C226&gt;='Campaign Metadata'!B$3,Posts!C226&lt;='Campaign Metadata'!C$3),"During","Before/After")</f>
        <v>Before/After</v>
      </c>
      <c r="V226" s="20" t="str">
        <f>IF(AND(C226&gt;='Campaign Metadata'!B$4,Posts!C226&lt;='Campaign Metadata'!C$4),"During","Before/After")</f>
        <v>During</v>
      </c>
      <c r="W226" s="50" t="str">
        <f>IF(AND(C226&gt;='Campaign Metadata'!B$5,Posts!C226&lt;='Campaign Metadata'!C$5),"During","Before/After")</f>
        <v>Before/After</v>
      </c>
    </row>
    <row r="227" spans="1:23" x14ac:dyDescent="0.25">
      <c r="A227" s="49" t="s">
        <v>439</v>
      </c>
      <c r="B227" s="92" t="s">
        <v>30</v>
      </c>
      <c r="C227" s="35" t="s">
        <v>440</v>
      </c>
      <c r="D227" s="17" t="s">
        <v>42</v>
      </c>
      <c r="E227" s="17" t="s">
        <v>85</v>
      </c>
      <c r="F227" s="18">
        <v>1741</v>
      </c>
      <c r="G227" s="18">
        <v>164</v>
      </c>
      <c r="H227" s="18">
        <v>318</v>
      </c>
      <c r="I227" s="18">
        <v>8705</v>
      </c>
      <c r="J227" s="18">
        <f t="shared" si="6"/>
        <v>1905.0365307294658</v>
      </c>
      <c r="K227" s="18">
        <f t="shared" si="7"/>
        <v>2223</v>
      </c>
      <c r="L227" s="18">
        <v>8272</v>
      </c>
      <c r="M227" s="18">
        <v>121</v>
      </c>
      <c r="N227" s="19" t="s">
        <v>27</v>
      </c>
      <c r="O227" s="20"/>
      <c r="P227" s="20"/>
      <c r="Q227" s="20"/>
      <c r="R227" s="20"/>
      <c r="S227" s="22"/>
      <c r="T227" s="20" t="str">
        <f>IF(AND(C227&gt;='Campaign Metadata'!B$2,Posts!C227&lt;='Campaign Metadata'!C$2),"During","Before/After")</f>
        <v>Before/After</v>
      </c>
      <c r="U227" s="20" t="str">
        <f>IF(AND(C227&gt;='Campaign Metadata'!B$3,Posts!C227&lt;='Campaign Metadata'!C$3),"During","Before/After")</f>
        <v>Before/After</v>
      </c>
      <c r="V227" s="20" t="str">
        <f>IF(AND(C227&gt;='Campaign Metadata'!B$4,Posts!C227&lt;='Campaign Metadata'!C$4),"During","Before/After")</f>
        <v>Before/After</v>
      </c>
      <c r="W227" s="50" t="str">
        <f>IF(AND(C227&gt;='Campaign Metadata'!B$5,Posts!C227&lt;='Campaign Metadata'!C$5),"During","Before/After")</f>
        <v>Before/After</v>
      </c>
    </row>
    <row r="228" spans="1:23" x14ac:dyDescent="0.25">
      <c r="A228" s="49" t="s">
        <v>328</v>
      </c>
      <c r="B228" s="92" t="s">
        <v>30</v>
      </c>
      <c r="C228" s="35" t="s">
        <v>203</v>
      </c>
      <c r="D228" s="17" t="s">
        <v>42</v>
      </c>
      <c r="E228" s="17" t="s">
        <v>85</v>
      </c>
      <c r="F228" s="18">
        <v>985</v>
      </c>
      <c r="G228" s="18">
        <v>932</v>
      </c>
      <c r="H228" s="18">
        <v>287</v>
      </c>
      <c r="I228" s="18">
        <v>6895</v>
      </c>
      <c r="J228" s="18">
        <f t="shared" si="6"/>
        <v>1917.0416243654822</v>
      </c>
      <c r="K228" s="18">
        <f t="shared" si="7"/>
        <v>2204</v>
      </c>
      <c r="L228" s="18">
        <v>6757</v>
      </c>
      <c r="M228" s="18">
        <v>64</v>
      </c>
      <c r="N228" s="19" t="s">
        <v>59</v>
      </c>
      <c r="O228" s="20"/>
      <c r="P228" s="20"/>
      <c r="Q228" s="20"/>
      <c r="R228" s="20"/>
      <c r="S228" s="22" t="s">
        <v>35</v>
      </c>
      <c r="T228" s="20" t="str">
        <f>IF(AND(C228&gt;='Campaign Metadata'!B$2,Posts!C228&lt;='Campaign Metadata'!C$2),"During","Before/After")</f>
        <v>Before/After</v>
      </c>
      <c r="U228" s="20" t="str">
        <f>IF(AND(C228&gt;='Campaign Metadata'!B$3,Posts!C228&lt;='Campaign Metadata'!C$3),"During","Before/After")</f>
        <v>Before/After</v>
      </c>
      <c r="V228" s="20" t="str">
        <f>IF(AND(C228&gt;='Campaign Metadata'!B$4,Posts!C228&lt;='Campaign Metadata'!C$4),"During","Before/After")</f>
        <v>During</v>
      </c>
      <c r="W228" s="50" t="str">
        <f>IF(AND(C228&gt;='Campaign Metadata'!B$5,Posts!C228&lt;='Campaign Metadata'!C$5),"During","Before/After")</f>
        <v>Before/After</v>
      </c>
    </row>
    <row r="229" spans="1:23" x14ac:dyDescent="0.25">
      <c r="A229" s="49" t="s">
        <v>386</v>
      </c>
      <c r="B229" s="92" t="s">
        <v>24</v>
      </c>
      <c r="C229" s="35" t="s">
        <v>387</v>
      </c>
      <c r="D229" s="17" t="s">
        <v>20</v>
      </c>
      <c r="E229" s="17" t="s">
        <v>100</v>
      </c>
      <c r="F229" s="18">
        <v>1963</v>
      </c>
      <c r="G229" s="18">
        <v>213</v>
      </c>
      <c r="H229" s="18">
        <v>19</v>
      </c>
      <c r="I229" s="18">
        <v>39260</v>
      </c>
      <c r="J229" s="18">
        <f t="shared" si="6"/>
        <v>2176.000483953133</v>
      </c>
      <c r="K229" s="18">
        <f t="shared" si="7"/>
        <v>2195</v>
      </c>
      <c r="L229" s="18">
        <v>38771</v>
      </c>
      <c r="M229" s="18">
        <v>145</v>
      </c>
      <c r="N229" s="19" t="s">
        <v>59</v>
      </c>
      <c r="O229" s="20"/>
      <c r="P229" s="20"/>
      <c r="Q229" s="20"/>
      <c r="R229" s="20"/>
      <c r="S229" s="22"/>
      <c r="T229" s="20" t="str">
        <f>IF(AND(C229&gt;='Campaign Metadata'!B$2,Posts!C229&lt;='Campaign Metadata'!C$2),"During","Before/After")</f>
        <v>Before/After</v>
      </c>
      <c r="U229" s="20" t="str">
        <f>IF(AND(C229&gt;='Campaign Metadata'!B$3,Posts!C229&lt;='Campaign Metadata'!C$3),"During","Before/After")</f>
        <v>Before/After</v>
      </c>
      <c r="V229" s="20" t="str">
        <f>IF(AND(C229&gt;='Campaign Metadata'!B$4,Posts!C229&lt;='Campaign Metadata'!C$4),"During","Before/After")</f>
        <v>During</v>
      </c>
      <c r="W229" s="50" t="str">
        <f>IF(AND(C229&gt;='Campaign Metadata'!B$5,Posts!C229&lt;='Campaign Metadata'!C$5),"During","Before/After")</f>
        <v>Before/After</v>
      </c>
    </row>
    <row r="230" spans="1:23" x14ac:dyDescent="0.25">
      <c r="A230" s="49" t="s">
        <v>112</v>
      </c>
      <c r="B230" s="92" t="s">
        <v>40</v>
      </c>
      <c r="C230" s="35" t="s">
        <v>113</v>
      </c>
      <c r="D230" s="17" t="s">
        <v>49</v>
      </c>
      <c r="E230" s="17" t="s">
        <v>56</v>
      </c>
      <c r="F230" s="18">
        <v>1407</v>
      </c>
      <c r="G230" s="18">
        <v>400</v>
      </c>
      <c r="H230" s="18">
        <v>351</v>
      </c>
      <c r="I230" s="18">
        <v>16884</v>
      </c>
      <c r="J230" s="18">
        <f t="shared" si="6"/>
        <v>1807.02078891258</v>
      </c>
      <c r="K230" s="18">
        <f t="shared" si="7"/>
        <v>2158</v>
      </c>
      <c r="L230" s="18">
        <v>15954</v>
      </c>
      <c r="M230" s="18">
        <v>113</v>
      </c>
      <c r="N230" s="19" t="s">
        <v>27</v>
      </c>
      <c r="O230" s="20"/>
      <c r="P230" s="20"/>
      <c r="Q230" s="20"/>
      <c r="R230" s="20"/>
      <c r="S230" s="21" t="s">
        <v>17</v>
      </c>
      <c r="T230" s="20" t="str">
        <f>IF(AND(C230&gt;='Campaign Metadata'!B$2,Posts!C230&lt;='Campaign Metadata'!C$2),"During","Before/After")</f>
        <v>Before/After</v>
      </c>
      <c r="U230" s="20" t="str">
        <f>IF(AND(C230&gt;='Campaign Metadata'!B$3,Posts!C230&lt;='Campaign Metadata'!C$3),"During","Before/After")</f>
        <v>Before/After</v>
      </c>
      <c r="V230" s="20" t="str">
        <f>IF(AND(C230&gt;='Campaign Metadata'!B$4,Posts!C230&lt;='Campaign Metadata'!C$4),"During","Before/After")</f>
        <v>Before/After</v>
      </c>
      <c r="W230" s="50" t="str">
        <f>IF(AND(C230&gt;='Campaign Metadata'!B$5,Posts!C230&lt;='Campaign Metadata'!C$5),"During","Before/After")</f>
        <v>Before/After</v>
      </c>
    </row>
    <row r="231" spans="1:23" x14ac:dyDescent="0.25">
      <c r="A231" s="49" t="s">
        <v>244</v>
      </c>
      <c r="B231" s="92" t="s">
        <v>13</v>
      </c>
      <c r="C231" s="35" t="s">
        <v>245</v>
      </c>
      <c r="D231" s="17" t="s">
        <v>15</v>
      </c>
      <c r="E231" s="17" t="s">
        <v>16</v>
      </c>
      <c r="F231" s="18">
        <v>1000</v>
      </c>
      <c r="G231" s="18">
        <v>978</v>
      </c>
      <c r="H231" s="18">
        <v>162</v>
      </c>
      <c r="I231" s="18">
        <v>6000</v>
      </c>
      <c r="J231" s="18">
        <f t="shared" si="6"/>
        <v>1978.027</v>
      </c>
      <c r="K231" s="18">
        <f t="shared" si="7"/>
        <v>2140</v>
      </c>
      <c r="L231" s="18">
        <v>5221</v>
      </c>
      <c r="M231" s="18">
        <v>223</v>
      </c>
      <c r="N231" s="19" t="s">
        <v>34</v>
      </c>
      <c r="O231" s="20"/>
      <c r="P231" s="20"/>
      <c r="Q231" s="20"/>
      <c r="R231" s="20"/>
      <c r="S231" s="22" t="s">
        <v>22</v>
      </c>
      <c r="T231" s="20" t="str">
        <f>IF(AND(C231&gt;='Campaign Metadata'!B$2,Posts!C231&lt;='Campaign Metadata'!C$2),"During","Before/After")</f>
        <v>Before/After</v>
      </c>
      <c r="U231" s="20" t="str">
        <f>IF(AND(C231&gt;='Campaign Metadata'!B$3,Posts!C231&lt;='Campaign Metadata'!C$3),"During","Before/After")</f>
        <v>Before/After</v>
      </c>
      <c r="V231" s="20" t="str">
        <f>IF(AND(C231&gt;='Campaign Metadata'!B$4,Posts!C231&lt;='Campaign Metadata'!C$4),"During","Before/After")</f>
        <v>Before/After</v>
      </c>
      <c r="W231" s="50" t="str">
        <f>IF(AND(C231&gt;='Campaign Metadata'!B$5,Posts!C231&lt;='Campaign Metadata'!C$5),"During","Before/After")</f>
        <v>Before/After</v>
      </c>
    </row>
    <row r="232" spans="1:23" x14ac:dyDescent="0.25">
      <c r="A232" s="49" t="s">
        <v>314</v>
      </c>
      <c r="B232" s="92" t="s">
        <v>30</v>
      </c>
      <c r="C232" s="35" t="s">
        <v>31</v>
      </c>
      <c r="D232" s="17" t="s">
        <v>42</v>
      </c>
      <c r="E232" s="17" t="s">
        <v>85</v>
      </c>
      <c r="F232" s="18">
        <v>1878</v>
      </c>
      <c r="G232" s="18">
        <v>62</v>
      </c>
      <c r="H232" s="18">
        <v>179</v>
      </c>
      <c r="I232" s="18">
        <v>37560</v>
      </c>
      <c r="J232" s="18">
        <f t="shared" si="6"/>
        <v>1940.0047657082002</v>
      </c>
      <c r="K232" s="18">
        <f t="shared" si="7"/>
        <v>2119</v>
      </c>
      <c r="L232" s="18">
        <v>36874</v>
      </c>
      <c r="M232" s="18">
        <v>142</v>
      </c>
      <c r="N232" s="19" t="s">
        <v>27</v>
      </c>
      <c r="O232" s="20"/>
      <c r="P232" s="20"/>
      <c r="Q232" s="20"/>
      <c r="R232" s="20"/>
      <c r="S232" s="22" t="s">
        <v>35</v>
      </c>
      <c r="T232" s="20" t="str">
        <f>IF(AND(C232&gt;='Campaign Metadata'!B$2,Posts!C232&lt;='Campaign Metadata'!C$2),"During","Before/After")</f>
        <v>Before/After</v>
      </c>
      <c r="U232" s="20" t="str">
        <f>IF(AND(C232&gt;='Campaign Metadata'!B$3,Posts!C232&lt;='Campaign Metadata'!C$3),"During","Before/After")</f>
        <v>Before/After</v>
      </c>
      <c r="V232" s="20" t="str">
        <f>IF(AND(C232&gt;='Campaign Metadata'!B$4,Posts!C232&lt;='Campaign Metadata'!C$4),"During","Before/After")</f>
        <v>Before/After</v>
      </c>
      <c r="W232" s="50" t="str">
        <f>IF(AND(C232&gt;='Campaign Metadata'!B$5,Posts!C232&lt;='Campaign Metadata'!C$5),"During","Before/After")</f>
        <v>Before/After</v>
      </c>
    </row>
    <row r="233" spans="1:23" x14ac:dyDescent="0.25">
      <c r="A233" s="49" t="s">
        <v>531</v>
      </c>
      <c r="B233" s="92" t="s">
        <v>30</v>
      </c>
      <c r="C233" s="35" t="s">
        <v>395</v>
      </c>
      <c r="D233" s="17" t="s">
        <v>15</v>
      </c>
      <c r="E233" s="17" t="s">
        <v>79</v>
      </c>
      <c r="F233" s="18">
        <v>1164</v>
      </c>
      <c r="G233" s="18">
        <v>616</v>
      </c>
      <c r="H233" s="18">
        <v>324</v>
      </c>
      <c r="I233" s="18">
        <v>6984</v>
      </c>
      <c r="J233" s="18">
        <f t="shared" si="6"/>
        <v>1780.0463917525774</v>
      </c>
      <c r="K233" s="18">
        <f t="shared" si="7"/>
        <v>2104</v>
      </c>
      <c r="L233" s="18">
        <v>6636</v>
      </c>
      <c r="M233" s="18">
        <v>82</v>
      </c>
      <c r="N233" s="19" t="s">
        <v>34</v>
      </c>
      <c r="O233" s="20"/>
      <c r="P233" s="20"/>
      <c r="Q233" s="20"/>
      <c r="R233" s="20"/>
      <c r="S233" s="21" t="s">
        <v>17</v>
      </c>
      <c r="T233" s="20" t="str">
        <f>IF(AND(C233&gt;='Campaign Metadata'!B$2,Posts!C233&lt;='Campaign Metadata'!C$2),"During","Before/After")</f>
        <v>Before/After</v>
      </c>
      <c r="U233" s="20" t="str">
        <f>IF(AND(C233&gt;='Campaign Metadata'!B$3,Posts!C233&lt;='Campaign Metadata'!C$3),"During","Before/After")</f>
        <v>Before/After</v>
      </c>
      <c r="V233" s="20" t="str">
        <f>IF(AND(C233&gt;='Campaign Metadata'!B$4,Posts!C233&lt;='Campaign Metadata'!C$4),"During","Before/After")</f>
        <v>Before/After</v>
      </c>
      <c r="W233" s="50" t="str">
        <f>IF(AND(C233&gt;='Campaign Metadata'!B$5,Posts!C233&lt;='Campaign Metadata'!C$5),"During","Before/After")</f>
        <v>Before/After</v>
      </c>
    </row>
    <row r="234" spans="1:23" x14ac:dyDescent="0.25">
      <c r="A234" s="49" t="s">
        <v>114</v>
      </c>
      <c r="B234" s="92" t="s">
        <v>40</v>
      </c>
      <c r="C234" s="35" t="s">
        <v>115</v>
      </c>
      <c r="D234" s="17" t="s">
        <v>20</v>
      </c>
      <c r="E234" s="17" t="s">
        <v>53</v>
      </c>
      <c r="F234" s="18">
        <v>1652</v>
      </c>
      <c r="G234" s="18">
        <v>89</v>
      </c>
      <c r="H234" s="18">
        <v>357</v>
      </c>
      <c r="I234" s="18">
        <v>29736</v>
      </c>
      <c r="J234" s="18">
        <f t="shared" si="6"/>
        <v>1741.0120056497176</v>
      </c>
      <c r="K234" s="18">
        <f t="shared" si="7"/>
        <v>2098</v>
      </c>
      <c r="L234" s="18">
        <v>28771</v>
      </c>
      <c r="M234" s="18">
        <v>215</v>
      </c>
      <c r="N234" s="19" t="s">
        <v>27</v>
      </c>
      <c r="O234" s="20"/>
      <c r="P234" s="20"/>
      <c r="Q234" s="20"/>
      <c r="R234" s="20"/>
      <c r="S234" s="22" t="s">
        <v>28</v>
      </c>
      <c r="T234" s="20" t="str">
        <f>IF(AND(C234&gt;='Campaign Metadata'!B$2,Posts!C234&lt;='Campaign Metadata'!C$2),"During","Before/After")</f>
        <v>Before/After</v>
      </c>
      <c r="U234" s="20" t="str">
        <f>IF(AND(C234&gt;='Campaign Metadata'!B$3,Posts!C234&lt;='Campaign Metadata'!C$3),"During","Before/After")</f>
        <v>During</v>
      </c>
      <c r="V234" s="20" t="str">
        <f>IF(AND(C234&gt;='Campaign Metadata'!B$4,Posts!C234&lt;='Campaign Metadata'!C$4),"During","Before/After")</f>
        <v>Before/After</v>
      </c>
      <c r="W234" s="50" t="str">
        <f>IF(AND(C234&gt;='Campaign Metadata'!B$5,Posts!C234&lt;='Campaign Metadata'!C$5),"During","Before/After")</f>
        <v>Before/After</v>
      </c>
    </row>
    <row r="235" spans="1:23" x14ac:dyDescent="0.25">
      <c r="A235" s="49" t="s">
        <v>523</v>
      </c>
      <c r="B235" s="92" t="s">
        <v>30</v>
      </c>
      <c r="C235" s="35" t="s">
        <v>524</v>
      </c>
      <c r="D235" s="17" t="s">
        <v>71</v>
      </c>
      <c r="E235" s="17" t="s">
        <v>82</v>
      </c>
      <c r="F235" s="18">
        <v>1488</v>
      </c>
      <c r="G235" s="18">
        <v>417</v>
      </c>
      <c r="H235" s="18">
        <v>168</v>
      </c>
      <c r="I235" s="18">
        <v>19344</v>
      </c>
      <c r="J235" s="18">
        <f t="shared" si="6"/>
        <v>1905.0086848635235</v>
      </c>
      <c r="K235" s="18">
        <f t="shared" si="7"/>
        <v>2073</v>
      </c>
      <c r="L235" s="18">
        <v>18395</v>
      </c>
      <c r="M235" s="18">
        <v>30</v>
      </c>
      <c r="N235" s="19" t="s">
        <v>59</v>
      </c>
      <c r="O235" s="20"/>
      <c r="P235" s="20"/>
      <c r="Q235" s="20"/>
      <c r="R235" s="20"/>
      <c r="S235" s="22" t="s">
        <v>28</v>
      </c>
      <c r="T235" s="20" t="str">
        <f>IF(AND(C235&gt;='Campaign Metadata'!B$2,Posts!C235&lt;='Campaign Metadata'!C$2),"During","Before/After")</f>
        <v>Before/After</v>
      </c>
      <c r="U235" s="20" t="str">
        <f>IF(AND(C235&gt;='Campaign Metadata'!B$3,Posts!C235&lt;='Campaign Metadata'!C$3),"During","Before/After")</f>
        <v>Before/After</v>
      </c>
      <c r="V235" s="20" t="str">
        <f>IF(AND(C235&gt;='Campaign Metadata'!B$4,Posts!C235&lt;='Campaign Metadata'!C$4),"During","Before/After")</f>
        <v>During</v>
      </c>
      <c r="W235" s="50" t="str">
        <f>IF(AND(C235&gt;='Campaign Metadata'!B$5,Posts!C235&lt;='Campaign Metadata'!C$5),"During","Before/After")</f>
        <v>Before/After</v>
      </c>
    </row>
    <row r="236" spans="1:23" x14ac:dyDescent="0.25">
      <c r="A236" s="49" t="s">
        <v>234</v>
      </c>
      <c r="B236" s="92" t="s">
        <v>13</v>
      </c>
      <c r="C236" s="35" t="s">
        <v>235</v>
      </c>
      <c r="D236" s="17" t="s">
        <v>49</v>
      </c>
      <c r="E236" s="17" t="s">
        <v>128</v>
      </c>
      <c r="F236" s="18">
        <v>1238</v>
      </c>
      <c r="G236" s="18">
        <v>366</v>
      </c>
      <c r="H236" s="18">
        <v>444</v>
      </c>
      <c r="I236" s="18">
        <v>19808</v>
      </c>
      <c r="J236" s="18">
        <f t="shared" si="6"/>
        <v>1604.0224151857835</v>
      </c>
      <c r="K236" s="18">
        <f t="shared" si="7"/>
        <v>2048</v>
      </c>
      <c r="L236" s="18">
        <v>19334</v>
      </c>
      <c r="M236" s="18">
        <v>123</v>
      </c>
      <c r="N236" s="19" t="s">
        <v>59</v>
      </c>
      <c r="O236" s="20"/>
      <c r="P236" s="20"/>
      <c r="Q236" s="20"/>
      <c r="R236" s="20"/>
      <c r="S236" s="22"/>
      <c r="T236" s="20" t="str">
        <f>IF(AND(C236&gt;='Campaign Metadata'!B$2,Posts!C236&lt;='Campaign Metadata'!C$2),"During","Before/After")</f>
        <v>Before/After</v>
      </c>
      <c r="U236" s="20" t="str">
        <f>IF(AND(C236&gt;='Campaign Metadata'!B$3,Posts!C236&lt;='Campaign Metadata'!C$3),"During","Before/After")</f>
        <v>Before/After</v>
      </c>
      <c r="V236" s="20" t="str">
        <f>IF(AND(C236&gt;='Campaign Metadata'!B$4,Posts!C236&lt;='Campaign Metadata'!C$4),"During","Before/After")</f>
        <v>Before/After</v>
      </c>
      <c r="W236" s="50" t="str">
        <f>IF(AND(C236&gt;='Campaign Metadata'!B$5,Posts!C236&lt;='Campaign Metadata'!C$5),"During","Before/After")</f>
        <v>Before/After</v>
      </c>
    </row>
    <row r="237" spans="1:23" x14ac:dyDescent="0.25">
      <c r="A237" s="49" t="s">
        <v>389</v>
      </c>
      <c r="B237" s="92" t="s">
        <v>30</v>
      </c>
      <c r="C237" s="35" t="s">
        <v>390</v>
      </c>
      <c r="D237" s="17" t="s">
        <v>71</v>
      </c>
      <c r="E237" s="17" t="s">
        <v>82</v>
      </c>
      <c r="F237" s="18">
        <v>1176</v>
      </c>
      <c r="G237" s="18">
        <v>464</v>
      </c>
      <c r="H237" s="18">
        <v>394</v>
      </c>
      <c r="I237" s="18">
        <v>14112</v>
      </c>
      <c r="J237" s="18">
        <f t="shared" si="6"/>
        <v>1640.0279195011337</v>
      </c>
      <c r="K237" s="18">
        <f t="shared" si="7"/>
        <v>2034</v>
      </c>
      <c r="L237" s="18">
        <v>13588</v>
      </c>
      <c r="M237" s="18">
        <v>272</v>
      </c>
      <c r="N237" s="19" t="s">
        <v>34</v>
      </c>
      <c r="O237" s="20"/>
      <c r="P237" s="20"/>
      <c r="Q237" s="20"/>
      <c r="R237" s="20"/>
      <c r="S237" s="22"/>
      <c r="T237" s="20" t="str">
        <f>IF(AND(C237&gt;='Campaign Metadata'!B$2,Posts!C237&lt;='Campaign Metadata'!C$2),"During","Before/After")</f>
        <v>Before/After</v>
      </c>
      <c r="U237" s="20" t="str">
        <f>IF(AND(C237&gt;='Campaign Metadata'!B$3,Posts!C237&lt;='Campaign Metadata'!C$3),"During","Before/After")</f>
        <v>Before/After</v>
      </c>
      <c r="V237" s="20" t="str">
        <f>IF(AND(C237&gt;='Campaign Metadata'!B$4,Posts!C237&lt;='Campaign Metadata'!C$4),"During","Before/After")</f>
        <v>Before/After</v>
      </c>
      <c r="W237" s="50" t="str">
        <f>IF(AND(C237&gt;='Campaign Metadata'!B$5,Posts!C237&lt;='Campaign Metadata'!C$5),"During","Before/After")</f>
        <v>Before/After</v>
      </c>
    </row>
    <row r="238" spans="1:23" x14ac:dyDescent="0.25">
      <c r="A238" s="49" t="s">
        <v>88</v>
      </c>
      <c r="B238" s="92" t="s">
        <v>40</v>
      </c>
      <c r="C238" s="35" t="s">
        <v>89</v>
      </c>
      <c r="D238" s="17" t="s">
        <v>20</v>
      </c>
      <c r="E238" s="17" t="s">
        <v>53</v>
      </c>
      <c r="F238" s="18">
        <v>1570</v>
      </c>
      <c r="G238" s="18">
        <v>187</v>
      </c>
      <c r="H238" s="18">
        <v>260</v>
      </c>
      <c r="I238" s="18">
        <v>25120</v>
      </c>
      <c r="J238" s="18">
        <f t="shared" si="6"/>
        <v>1757.0103503184714</v>
      </c>
      <c r="K238" s="18">
        <f t="shared" si="7"/>
        <v>2017</v>
      </c>
      <c r="L238" s="18">
        <v>24613</v>
      </c>
      <c r="M238" s="18">
        <v>133</v>
      </c>
      <c r="N238" s="19" t="s">
        <v>27</v>
      </c>
      <c r="O238" s="20"/>
      <c r="P238" s="20"/>
      <c r="Q238" s="20"/>
      <c r="R238" s="20"/>
      <c r="S238" s="22" t="s">
        <v>35</v>
      </c>
      <c r="T238" s="20" t="str">
        <f>IF(AND(C238&gt;='Campaign Metadata'!B$2,Posts!C238&lt;='Campaign Metadata'!C$2),"During","Before/After")</f>
        <v>Before/After</v>
      </c>
      <c r="U238" s="20" t="str">
        <f>IF(AND(C238&gt;='Campaign Metadata'!B$3,Posts!C238&lt;='Campaign Metadata'!C$3),"During","Before/After")</f>
        <v>Before/After</v>
      </c>
      <c r="V238" s="20" t="str">
        <f>IF(AND(C238&gt;='Campaign Metadata'!B$4,Posts!C238&lt;='Campaign Metadata'!C$4),"During","Before/After")</f>
        <v>Before/After</v>
      </c>
      <c r="W238" s="50" t="str">
        <f>IF(AND(C238&gt;='Campaign Metadata'!B$5,Posts!C238&lt;='Campaign Metadata'!C$5),"During","Before/After")</f>
        <v>Before/After</v>
      </c>
    </row>
    <row r="239" spans="1:23" x14ac:dyDescent="0.25">
      <c r="A239" s="49" t="s">
        <v>226</v>
      </c>
      <c r="B239" s="92" t="s">
        <v>40</v>
      </c>
      <c r="C239" s="35" t="s">
        <v>227</v>
      </c>
      <c r="D239" s="17" t="s">
        <v>49</v>
      </c>
      <c r="E239" s="17" t="s">
        <v>56</v>
      </c>
      <c r="F239" s="18">
        <v>1263</v>
      </c>
      <c r="G239" s="18">
        <v>397</v>
      </c>
      <c r="H239" s="18">
        <v>357</v>
      </c>
      <c r="I239" s="18">
        <v>25260</v>
      </c>
      <c r="J239" s="18">
        <f t="shared" si="6"/>
        <v>1660.0141330166271</v>
      </c>
      <c r="K239" s="18">
        <f t="shared" si="7"/>
        <v>2017</v>
      </c>
      <c r="L239" s="18">
        <v>24615</v>
      </c>
      <c r="M239" s="18">
        <v>137</v>
      </c>
      <c r="N239" s="19" t="s">
        <v>34</v>
      </c>
      <c r="O239" s="20"/>
      <c r="P239" s="20"/>
      <c r="Q239" s="20"/>
      <c r="R239" s="20"/>
      <c r="S239" s="22" t="s">
        <v>35</v>
      </c>
      <c r="T239" s="20" t="str">
        <f>IF(AND(C239&gt;='Campaign Metadata'!B$2,Posts!C239&lt;='Campaign Metadata'!C$2),"During","Before/After")</f>
        <v>Before/After</v>
      </c>
      <c r="U239" s="20" t="str">
        <f>IF(AND(C239&gt;='Campaign Metadata'!B$3,Posts!C239&lt;='Campaign Metadata'!C$3),"During","Before/After")</f>
        <v>During</v>
      </c>
      <c r="V239" s="20" t="str">
        <f>IF(AND(C239&gt;='Campaign Metadata'!B$4,Posts!C239&lt;='Campaign Metadata'!C$4),"During","Before/After")</f>
        <v>Before/After</v>
      </c>
      <c r="W239" s="50" t="str">
        <f>IF(AND(C239&gt;='Campaign Metadata'!B$5,Posts!C239&lt;='Campaign Metadata'!C$5),"During","Before/After")</f>
        <v>Before/After</v>
      </c>
    </row>
    <row r="240" spans="1:23" x14ac:dyDescent="0.25">
      <c r="A240" s="49" t="s">
        <v>279</v>
      </c>
      <c r="B240" s="92" t="s">
        <v>40</v>
      </c>
      <c r="C240" s="35" t="s">
        <v>163</v>
      </c>
      <c r="D240" s="17" t="s">
        <v>32</v>
      </c>
      <c r="E240" s="17" t="s">
        <v>68</v>
      </c>
      <c r="F240" s="18">
        <v>780</v>
      </c>
      <c r="G240" s="18">
        <v>928</v>
      </c>
      <c r="H240" s="18">
        <v>301</v>
      </c>
      <c r="I240" s="18">
        <v>8580</v>
      </c>
      <c r="J240" s="18">
        <f t="shared" si="6"/>
        <v>1708.0350815850816</v>
      </c>
      <c r="K240" s="18">
        <f t="shared" si="7"/>
        <v>2009</v>
      </c>
      <c r="L240" s="18">
        <v>8081</v>
      </c>
      <c r="M240" s="18">
        <v>91</v>
      </c>
      <c r="N240" s="19" t="s">
        <v>34</v>
      </c>
      <c r="O240" s="20"/>
      <c r="P240" s="20"/>
      <c r="Q240" s="20"/>
      <c r="R240" s="20"/>
      <c r="S240" s="22" t="s">
        <v>28</v>
      </c>
      <c r="T240" s="20" t="str">
        <f>IF(AND(C240&gt;='Campaign Metadata'!B$2,Posts!C240&lt;='Campaign Metadata'!C$2),"During","Before/After")</f>
        <v>Before/After</v>
      </c>
      <c r="U240" s="20" t="str">
        <f>IF(AND(C240&gt;='Campaign Metadata'!B$3,Posts!C240&lt;='Campaign Metadata'!C$3),"During","Before/After")</f>
        <v>Before/After</v>
      </c>
      <c r="V240" s="20" t="str">
        <f>IF(AND(C240&gt;='Campaign Metadata'!B$4,Posts!C240&lt;='Campaign Metadata'!C$4),"During","Before/After")</f>
        <v>During</v>
      </c>
      <c r="W240" s="50" t="str">
        <f>IF(AND(C240&gt;='Campaign Metadata'!B$5,Posts!C240&lt;='Campaign Metadata'!C$5),"During","Before/After")</f>
        <v>Before/After</v>
      </c>
    </row>
    <row r="241" spans="1:23" x14ac:dyDescent="0.25">
      <c r="A241" s="49" t="s">
        <v>12</v>
      </c>
      <c r="B241" s="92" t="s">
        <v>13</v>
      </c>
      <c r="C241" s="35" t="s">
        <v>14</v>
      </c>
      <c r="D241" s="17" t="s">
        <v>15</v>
      </c>
      <c r="E241" s="17" t="s">
        <v>16</v>
      </c>
      <c r="F241" s="18">
        <v>1461</v>
      </c>
      <c r="G241" s="18">
        <v>184</v>
      </c>
      <c r="H241" s="18">
        <v>344</v>
      </c>
      <c r="I241" s="18">
        <v>21915</v>
      </c>
      <c r="J241" s="18">
        <f t="shared" si="6"/>
        <v>1645.0156970111796</v>
      </c>
      <c r="K241" s="18">
        <f t="shared" si="7"/>
        <v>1989</v>
      </c>
      <c r="L241" s="18">
        <v>21675</v>
      </c>
      <c r="M241" s="18">
        <v>15</v>
      </c>
      <c r="N241" s="19" t="s">
        <v>59</v>
      </c>
      <c r="O241" s="20" t="s">
        <v>597</v>
      </c>
      <c r="P241" s="20"/>
      <c r="Q241" s="20"/>
      <c r="R241" s="20"/>
      <c r="S241" s="21" t="s">
        <v>17</v>
      </c>
      <c r="T241" s="20" t="str">
        <f>IF(AND(C241&gt;='Campaign Metadata'!B$2,Posts!C241&lt;='Campaign Metadata'!C$2),"During","Before/After")</f>
        <v>Before/After</v>
      </c>
      <c r="U241" s="20" t="str">
        <f>IF(AND(C241&gt;='Campaign Metadata'!B$3,Posts!C241&lt;='Campaign Metadata'!C$3),"During","Before/After")</f>
        <v>Before/After</v>
      </c>
      <c r="V241" s="20" t="str">
        <f>IF(AND(C241&gt;='Campaign Metadata'!B$4,Posts!C241&lt;='Campaign Metadata'!C$4),"During","Before/After")</f>
        <v>Before/After</v>
      </c>
      <c r="W241" s="50" t="str">
        <f>IF(AND(C241&gt;='Campaign Metadata'!B$5,Posts!C241&lt;='Campaign Metadata'!C$5),"During","Before/After")</f>
        <v>Before/After</v>
      </c>
    </row>
    <row r="242" spans="1:23" x14ac:dyDescent="0.25">
      <c r="A242" s="49" t="s">
        <v>168</v>
      </c>
      <c r="B242" s="92" t="s">
        <v>30</v>
      </c>
      <c r="C242" s="35" t="s">
        <v>169</v>
      </c>
      <c r="D242" s="17" t="s">
        <v>71</v>
      </c>
      <c r="E242" s="17" t="s">
        <v>82</v>
      </c>
      <c r="F242" s="18">
        <v>904</v>
      </c>
      <c r="G242" s="18">
        <v>973</v>
      </c>
      <c r="H242" s="18">
        <v>63</v>
      </c>
      <c r="I242" s="18">
        <v>11752</v>
      </c>
      <c r="J242" s="18">
        <f t="shared" si="6"/>
        <v>1877.0053607896527</v>
      </c>
      <c r="K242" s="18">
        <f t="shared" si="7"/>
        <v>1940</v>
      </c>
      <c r="L242" s="18">
        <v>11580</v>
      </c>
      <c r="M242" s="18">
        <v>84</v>
      </c>
      <c r="N242" s="19" t="s">
        <v>34</v>
      </c>
      <c r="O242" s="20" t="s">
        <v>27</v>
      </c>
      <c r="P242" s="20" t="s">
        <v>597</v>
      </c>
      <c r="Q242" s="20"/>
      <c r="R242" s="20"/>
      <c r="S242" s="22" t="s">
        <v>28</v>
      </c>
      <c r="T242" s="20" t="str">
        <f>IF(AND(C242&gt;='Campaign Metadata'!B$2,Posts!C242&lt;='Campaign Metadata'!C$2),"During","Before/After")</f>
        <v>Before/After</v>
      </c>
      <c r="U242" s="20" t="str">
        <f>IF(AND(C242&gt;='Campaign Metadata'!B$3,Posts!C242&lt;='Campaign Metadata'!C$3),"During","Before/After")</f>
        <v>Before/After</v>
      </c>
      <c r="V242" s="20" t="str">
        <f>IF(AND(C242&gt;='Campaign Metadata'!B$4,Posts!C242&lt;='Campaign Metadata'!C$4),"During","Before/After")</f>
        <v>Before/After</v>
      </c>
      <c r="W242" s="50" t="str">
        <f>IF(AND(C242&gt;='Campaign Metadata'!B$5,Posts!C242&lt;='Campaign Metadata'!C$5),"During","Before/After")</f>
        <v>Before/After</v>
      </c>
    </row>
    <row r="243" spans="1:23" x14ac:dyDescent="0.25">
      <c r="A243" s="49" t="s">
        <v>205</v>
      </c>
      <c r="B243" s="92" t="s">
        <v>30</v>
      </c>
      <c r="C243" s="35" t="s">
        <v>206</v>
      </c>
      <c r="D243" s="17" t="s">
        <v>32</v>
      </c>
      <c r="E243" s="17" t="s">
        <v>33</v>
      </c>
      <c r="F243" s="18">
        <v>1816</v>
      </c>
      <c r="G243" s="18">
        <v>29</v>
      </c>
      <c r="H243" s="18">
        <v>41</v>
      </c>
      <c r="I243" s="18">
        <v>19976</v>
      </c>
      <c r="J243" s="18">
        <f t="shared" si="6"/>
        <v>1845.0020524629556</v>
      </c>
      <c r="K243" s="18">
        <f t="shared" si="7"/>
        <v>1886</v>
      </c>
      <c r="L243" s="18">
        <v>19262</v>
      </c>
      <c r="M243" s="18">
        <v>283</v>
      </c>
      <c r="N243" s="19" t="s">
        <v>27</v>
      </c>
      <c r="O243" s="20"/>
      <c r="P243" s="20"/>
      <c r="Q243" s="20"/>
      <c r="R243" s="20"/>
      <c r="S243" s="22" t="s">
        <v>28</v>
      </c>
      <c r="T243" s="20" t="str">
        <f>IF(AND(C243&gt;='Campaign Metadata'!B$2,Posts!C243&lt;='Campaign Metadata'!C$2),"During","Before/After")</f>
        <v>Before/After</v>
      </c>
      <c r="U243" s="20" t="str">
        <f>IF(AND(C243&gt;='Campaign Metadata'!B$3,Posts!C243&lt;='Campaign Metadata'!C$3),"During","Before/After")</f>
        <v>Before/After</v>
      </c>
      <c r="V243" s="20" t="str">
        <f>IF(AND(C243&gt;='Campaign Metadata'!B$4,Posts!C243&lt;='Campaign Metadata'!C$4),"During","Before/After")</f>
        <v>During</v>
      </c>
      <c r="W243" s="50" t="str">
        <f>IF(AND(C243&gt;='Campaign Metadata'!B$5,Posts!C243&lt;='Campaign Metadata'!C$5),"During","Before/After")</f>
        <v>Before/After</v>
      </c>
    </row>
    <row r="244" spans="1:23" x14ac:dyDescent="0.25">
      <c r="A244" s="49" t="s">
        <v>514</v>
      </c>
      <c r="B244" s="92" t="s">
        <v>13</v>
      </c>
      <c r="C244" s="35" t="s">
        <v>515</v>
      </c>
      <c r="D244" s="17" t="s">
        <v>42</v>
      </c>
      <c r="E244" s="17" t="s">
        <v>46</v>
      </c>
      <c r="F244" s="18">
        <v>1556</v>
      </c>
      <c r="G244" s="18">
        <v>195</v>
      </c>
      <c r="H244" s="18">
        <v>131</v>
      </c>
      <c r="I244" s="18">
        <v>9336</v>
      </c>
      <c r="J244" s="18">
        <f t="shared" si="6"/>
        <v>1751.0140317052271</v>
      </c>
      <c r="K244" s="18">
        <f t="shared" si="7"/>
        <v>1882</v>
      </c>
      <c r="L244" s="18">
        <v>8875</v>
      </c>
      <c r="M244" s="18">
        <v>137</v>
      </c>
      <c r="N244" s="19" t="s">
        <v>27</v>
      </c>
      <c r="O244" s="20"/>
      <c r="P244" s="20"/>
      <c r="Q244" s="20"/>
      <c r="R244" s="20"/>
      <c r="S244" s="22" t="s">
        <v>22</v>
      </c>
      <c r="T244" s="20" t="str">
        <f>IF(AND(C244&gt;='Campaign Metadata'!B$2,Posts!C244&lt;='Campaign Metadata'!C$2),"During","Before/After")</f>
        <v>Before/After</v>
      </c>
      <c r="U244" s="20" t="str">
        <f>IF(AND(C244&gt;='Campaign Metadata'!B$3,Posts!C244&lt;='Campaign Metadata'!C$3),"During","Before/After")</f>
        <v>Before/After</v>
      </c>
      <c r="V244" s="20" t="str">
        <f>IF(AND(C244&gt;='Campaign Metadata'!B$4,Posts!C244&lt;='Campaign Metadata'!C$4),"During","Before/After")</f>
        <v>Before/After</v>
      </c>
      <c r="W244" s="50" t="str">
        <f>IF(AND(C244&gt;='Campaign Metadata'!B$5,Posts!C244&lt;='Campaign Metadata'!C$5),"During","Before/After")</f>
        <v>Before/After</v>
      </c>
    </row>
    <row r="245" spans="1:23" x14ac:dyDescent="0.25">
      <c r="A245" s="49" t="s">
        <v>399</v>
      </c>
      <c r="B245" s="92" t="s">
        <v>13</v>
      </c>
      <c r="C245" s="35" t="s">
        <v>400</v>
      </c>
      <c r="D245" s="17" t="s">
        <v>49</v>
      </c>
      <c r="E245" s="17" t="s">
        <v>128</v>
      </c>
      <c r="F245" s="18">
        <v>1048</v>
      </c>
      <c r="G245" s="18">
        <v>374</v>
      </c>
      <c r="H245" s="18">
        <v>450</v>
      </c>
      <c r="I245" s="18">
        <v>9432</v>
      </c>
      <c r="J245" s="18">
        <f t="shared" si="6"/>
        <v>1422.0477099236641</v>
      </c>
      <c r="K245" s="18">
        <f t="shared" si="7"/>
        <v>1872</v>
      </c>
      <c r="L245" s="18">
        <v>8882</v>
      </c>
      <c r="M245" s="18">
        <v>158</v>
      </c>
      <c r="N245" s="19" t="s">
        <v>27</v>
      </c>
      <c r="O245" s="20"/>
      <c r="P245" s="20"/>
      <c r="Q245" s="20"/>
      <c r="R245" s="20"/>
      <c r="S245" s="22" t="s">
        <v>28</v>
      </c>
      <c r="T245" s="20" t="str">
        <f>IF(AND(C245&gt;='Campaign Metadata'!B$2,Posts!C245&lt;='Campaign Metadata'!C$2),"During","Before/After")</f>
        <v>Before/After</v>
      </c>
      <c r="U245" s="20" t="str">
        <f>IF(AND(C245&gt;='Campaign Metadata'!B$3,Posts!C245&lt;='Campaign Metadata'!C$3),"During","Before/After")</f>
        <v>Before/After</v>
      </c>
      <c r="V245" s="20" t="str">
        <f>IF(AND(C245&gt;='Campaign Metadata'!B$4,Posts!C245&lt;='Campaign Metadata'!C$4),"During","Before/After")</f>
        <v>Before/After</v>
      </c>
      <c r="W245" s="50" t="str">
        <f>IF(AND(C245&gt;='Campaign Metadata'!B$5,Posts!C245&lt;='Campaign Metadata'!C$5),"During","Before/After")</f>
        <v>Before/After</v>
      </c>
    </row>
    <row r="246" spans="1:23" x14ac:dyDescent="0.25">
      <c r="A246" s="49" t="s">
        <v>372</v>
      </c>
      <c r="B246" s="92" t="s">
        <v>24</v>
      </c>
      <c r="C246" s="35" t="s">
        <v>373</v>
      </c>
      <c r="D246" s="17" t="s">
        <v>49</v>
      </c>
      <c r="E246" s="17" t="s">
        <v>50</v>
      </c>
      <c r="F246" s="18">
        <v>606</v>
      </c>
      <c r="G246" s="18">
        <v>789</v>
      </c>
      <c r="H246" s="18">
        <v>470</v>
      </c>
      <c r="I246" s="18">
        <v>7878</v>
      </c>
      <c r="J246" s="18">
        <f t="shared" si="6"/>
        <v>1395.0596598121351</v>
      </c>
      <c r="K246" s="18">
        <f t="shared" si="7"/>
        <v>1865</v>
      </c>
      <c r="L246" s="18">
        <v>7389</v>
      </c>
      <c r="M246" s="18">
        <v>239</v>
      </c>
      <c r="N246" s="19" t="s">
        <v>34</v>
      </c>
      <c r="O246" s="20"/>
      <c r="P246" s="20"/>
      <c r="Q246" s="20"/>
      <c r="R246" s="20"/>
      <c r="S246" s="22" t="s">
        <v>28</v>
      </c>
      <c r="T246" s="20" t="str">
        <f>IF(AND(C246&gt;='Campaign Metadata'!B$2,Posts!C246&lt;='Campaign Metadata'!C$2),"During","Before/After")</f>
        <v>Before/After</v>
      </c>
      <c r="U246" s="20" t="str">
        <f>IF(AND(C246&gt;='Campaign Metadata'!B$3,Posts!C246&lt;='Campaign Metadata'!C$3),"During","Before/After")</f>
        <v>During</v>
      </c>
      <c r="V246" s="20" t="str">
        <f>IF(AND(C246&gt;='Campaign Metadata'!B$4,Posts!C246&lt;='Campaign Metadata'!C$4),"During","Before/After")</f>
        <v>Before/After</v>
      </c>
      <c r="W246" s="50" t="str">
        <f>IF(AND(C246&gt;='Campaign Metadata'!B$5,Posts!C246&lt;='Campaign Metadata'!C$5),"During","Before/After")</f>
        <v>Before/After</v>
      </c>
    </row>
    <row r="247" spans="1:23" x14ac:dyDescent="0.25">
      <c r="A247" s="49" t="s">
        <v>447</v>
      </c>
      <c r="B247" s="92" t="s">
        <v>30</v>
      </c>
      <c r="C247" s="35" t="s">
        <v>423</v>
      </c>
      <c r="D247" s="17" t="s">
        <v>20</v>
      </c>
      <c r="E247" s="17" t="s">
        <v>109</v>
      </c>
      <c r="F247" s="18">
        <v>1430</v>
      </c>
      <c r="G247" s="18">
        <v>376</v>
      </c>
      <c r="H247" s="18">
        <v>33</v>
      </c>
      <c r="I247" s="18">
        <v>21450</v>
      </c>
      <c r="J247" s="18">
        <f t="shared" si="6"/>
        <v>1806.0015384615385</v>
      </c>
      <c r="K247" s="18">
        <f t="shared" si="7"/>
        <v>1839</v>
      </c>
      <c r="L247" s="18">
        <v>20509</v>
      </c>
      <c r="M247" s="18">
        <v>251</v>
      </c>
      <c r="N247" s="19" t="s">
        <v>59</v>
      </c>
      <c r="O247" s="20"/>
      <c r="P247" s="20"/>
      <c r="Q247" s="20"/>
      <c r="R247" s="20"/>
      <c r="S247" s="21" t="s">
        <v>17</v>
      </c>
      <c r="T247" s="20" t="str">
        <f>IF(AND(C247&gt;='Campaign Metadata'!B$2,Posts!C247&lt;='Campaign Metadata'!C$2),"During","Before/After")</f>
        <v>Before/After</v>
      </c>
      <c r="U247" s="20" t="str">
        <f>IF(AND(C247&gt;='Campaign Metadata'!B$3,Posts!C247&lt;='Campaign Metadata'!C$3),"During","Before/After")</f>
        <v>Before/After</v>
      </c>
      <c r="V247" s="20" t="str">
        <f>IF(AND(C247&gt;='Campaign Metadata'!B$4,Posts!C247&lt;='Campaign Metadata'!C$4),"During","Before/After")</f>
        <v>Before/After</v>
      </c>
      <c r="W247" s="50" t="str">
        <f>IF(AND(C247&gt;='Campaign Metadata'!B$5,Posts!C247&lt;='Campaign Metadata'!C$5),"During","Before/After")</f>
        <v>Before/After</v>
      </c>
    </row>
    <row r="248" spans="1:23" x14ac:dyDescent="0.25">
      <c r="A248" s="49" t="s">
        <v>451</v>
      </c>
      <c r="B248" s="92" t="s">
        <v>40</v>
      </c>
      <c r="C248" s="35" t="s">
        <v>452</v>
      </c>
      <c r="D248" s="17" t="s">
        <v>20</v>
      </c>
      <c r="E248" s="17" t="s">
        <v>53</v>
      </c>
      <c r="F248" s="18">
        <v>1272</v>
      </c>
      <c r="G248" s="18">
        <v>465</v>
      </c>
      <c r="H248" s="18">
        <v>99</v>
      </c>
      <c r="I248" s="18">
        <v>24168</v>
      </c>
      <c r="J248" s="18">
        <f t="shared" si="6"/>
        <v>1737.00409632572</v>
      </c>
      <c r="K248" s="18">
        <f t="shared" si="7"/>
        <v>1836</v>
      </c>
      <c r="L248" s="18">
        <v>23719</v>
      </c>
      <c r="M248" s="18">
        <v>42</v>
      </c>
      <c r="N248" s="19" t="s">
        <v>27</v>
      </c>
      <c r="O248" s="20"/>
      <c r="P248" s="20"/>
      <c r="Q248" s="20"/>
      <c r="R248" s="20"/>
      <c r="S248" s="22"/>
      <c r="T248" s="20" t="str">
        <f>IF(AND(C248&gt;='Campaign Metadata'!B$2,Posts!C248&lt;='Campaign Metadata'!C$2),"During","Before/After")</f>
        <v>Before/After</v>
      </c>
      <c r="U248" s="20" t="str">
        <f>IF(AND(C248&gt;='Campaign Metadata'!B$3,Posts!C248&lt;='Campaign Metadata'!C$3),"During","Before/After")</f>
        <v>Before/After</v>
      </c>
      <c r="V248" s="20" t="str">
        <f>IF(AND(C248&gt;='Campaign Metadata'!B$4,Posts!C248&lt;='Campaign Metadata'!C$4),"During","Before/After")</f>
        <v>Before/After</v>
      </c>
      <c r="W248" s="50" t="str">
        <f>IF(AND(C248&gt;='Campaign Metadata'!B$5,Posts!C248&lt;='Campaign Metadata'!C$5),"During","Before/After")</f>
        <v>Before/After</v>
      </c>
    </row>
    <row r="249" spans="1:23" x14ac:dyDescent="0.25">
      <c r="A249" s="49" t="s">
        <v>430</v>
      </c>
      <c r="B249" s="92" t="s">
        <v>13</v>
      </c>
      <c r="C249" s="35" t="s">
        <v>169</v>
      </c>
      <c r="D249" s="17" t="s">
        <v>15</v>
      </c>
      <c r="E249" s="17" t="s">
        <v>16</v>
      </c>
      <c r="F249" s="18">
        <v>1188</v>
      </c>
      <c r="G249" s="18">
        <v>470</v>
      </c>
      <c r="H249" s="18">
        <v>174</v>
      </c>
      <c r="I249" s="18">
        <v>7128</v>
      </c>
      <c r="J249" s="18">
        <f t="shared" si="6"/>
        <v>1658.0244107744109</v>
      </c>
      <c r="K249" s="18">
        <f t="shared" si="7"/>
        <v>1832</v>
      </c>
      <c r="L249" s="18">
        <v>6145</v>
      </c>
      <c r="M249" s="18">
        <v>270</v>
      </c>
      <c r="N249" s="19" t="s">
        <v>27</v>
      </c>
      <c r="O249" s="20"/>
      <c r="P249" s="20"/>
      <c r="Q249" s="20"/>
      <c r="R249" s="20"/>
      <c r="S249" s="22" t="s">
        <v>35</v>
      </c>
      <c r="T249" s="20" t="str">
        <f>IF(AND(C249&gt;='Campaign Metadata'!B$2,Posts!C249&lt;='Campaign Metadata'!C$2),"During","Before/After")</f>
        <v>Before/After</v>
      </c>
      <c r="U249" s="20" t="str">
        <f>IF(AND(C249&gt;='Campaign Metadata'!B$3,Posts!C249&lt;='Campaign Metadata'!C$3),"During","Before/After")</f>
        <v>Before/After</v>
      </c>
      <c r="V249" s="20" t="str">
        <f>IF(AND(C249&gt;='Campaign Metadata'!B$4,Posts!C249&lt;='Campaign Metadata'!C$4),"During","Before/After")</f>
        <v>Before/After</v>
      </c>
      <c r="W249" s="50" t="str">
        <f>IF(AND(C249&gt;='Campaign Metadata'!B$5,Posts!C249&lt;='Campaign Metadata'!C$5),"During","Before/After")</f>
        <v>Before/After</v>
      </c>
    </row>
    <row r="250" spans="1:23" x14ac:dyDescent="0.25">
      <c r="A250" s="49" t="s">
        <v>356</v>
      </c>
      <c r="B250" s="92" t="s">
        <v>24</v>
      </c>
      <c r="C250" s="35" t="s">
        <v>357</v>
      </c>
      <c r="D250" s="17" t="s">
        <v>71</v>
      </c>
      <c r="E250" s="17" t="s">
        <v>212</v>
      </c>
      <c r="F250" s="18">
        <v>1018</v>
      </c>
      <c r="G250" s="18">
        <v>447</v>
      </c>
      <c r="H250" s="18">
        <v>332</v>
      </c>
      <c r="I250" s="18">
        <v>18324</v>
      </c>
      <c r="J250" s="18">
        <f t="shared" si="6"/>
        <v>1465.0181183147783</v>
      </c>
      <c r="K250" s="18">
        <f t="shared" si="7"/>
        <v>1797</v>
      </c>
      <c r="L250" s="18">
        <v>18164</v>
      </c>
      <c r="M250" s="18">
        <v>38</v>
      </c>
      <c r="N250" s="19" t="s">
        <v>59</v>
      </c>
      <c r="O250" s="20"/>
      <c r="P250" s="20"/>
      <c r="Q250" s="20"/>
      <c r="R250" s="20"/>
      <c r="S250" s="22" t="s">
        <v>22</v>
      </c>
      <c r="T250" s="20" t="str">
        <f>IF(AND(C250&gt;='Campaign Metadata'!B$2,Posts!C250&lt;='Campaign Metadata'!C$2),"During","Before/After")</f>
        <v>Before/After</v>
      </c>
      <c r="U250" s="20" t="str">
        <f>IF(AND(C250&gt;='Campaign Metadata'!B$3,Posts!C250&lt;='Campaign Metadata'!C$3),"During","Before/After")</f>
        <v>Before/After</v>
      </c>
      <c r="V250" s="20" t="str">
        <f>IF(AND(C250&gt;='Campaign Metadata'!B$4,Posts!C250&lt;='Campaign Metadata'!C$4),"During","Before/After")</f>
        <v>Before/After</v>
      </c>
      <c r="W250" s="50" t="str">
        <f>IF(AND(C250&gt;='Campaign Metadata'!B$5,Posts!C250&lt;='Campaign Metadata'!C$5),"During","Before/After")</f>
        <v>During</v>
      </c>
    </row>
    <row r="251" spans="1:23" x14ac:dyDescent="0.25">
      <c r="A251" s="49" t="s">
        <v>200</v>
      </c>
      <c r="B251" s="92" t="s">
        <v>40</v>
      </c>
      <c r="C251" s="35" t="s">
        <v>102</v>
      </c>
      <c r="D251" s="17" t="s">
        <v>32</v>
      </c>
      <c r="E251" s="17" t="s">
        <v>68</v>
      </c>
      <c r="F251" s="18">
        <v>1249</v>
      </c>
      <c r="G251" s="18">
        <v>116</v>
      </c>
      <c r="H251" s="18">
        <v>420</v>
      </c>
      <c r="I251" s="18">
        <v>8743</v>
      </c>
      <c r="J251" s="18">
        <f t="shared" si="6"/>
        <v>1365.0480384307446</v>
      </c>
      <c r="K251" s="18">
        <f t="shared" si="7"/>
        <v>1785</v>
      </c>
      <c r="L251" s="18">
        <v>8538</v>
      </c>
      <c r="M251" s="18">
        <v>63</v>
      </c>
      <c r="N251" s="19" t="s">
        <v>27</v>
      </c>
      <c r="O251" s="20"/>
      <c r="P251" s="20"/>
      <c r="Q251" s="20"/>
      <c r="R251" s="20"/>
      <c r="S251" s="22"/>
      <c r="T251" s="20" t="str">
        <f>IF(AND(C251&gt;='Campaign Metadata'!B$2,Posts!C251&lt;='Campaign Metadata'!C$2),"During","Before/After")</f>
        <v>Before/After</v>
      </c>
      <c r="U251" s="20" t="str">
        <f>IF(AND(C251&gt;='Campaign Metadata'!B$3,Posts!C251&lt;='Campaign Metadata'!C$3),"During","Before/After")</f>
        <v>During</v>
      </c>
      <c r="V251" s="20" t="str">
        <f>IF(AND(C251&gt;='Campaign Metadata'!B$4,Posts!C251&lt;='Campaign Metadata'!C$4),"During","Before/After")</f>
        <v>Before/After</v>
      </c>
      <c r="W251" s="50" t="str">
        <f>IF(AND(C251&gt;='Campaign Metadata'!B$5,Posts!C251&lt;='Campaign Metadata'!C$5),"During","Before/After")</f>
        <v>Before/After</v>
      </c>
    </row>
    <row r="252" spans="1:23" x14ac:dyDescent="0.25">
      <c r="A252" s="49" t="s">
        <v>338</v>
      </c>
      <c r="B252" s="92" t="s">
        <v>13</v>
      </c>
      <c r="C252" s="35" t="s">
        <v>339</v>
      </c>
      <c r="D252" s="17" t="s">
        <v>71</v>
      </c>
      <c r="E252" s="17" t="s">
        <v>141</v>
      </c>
      <c r="F252" s="18">
        <v>1082</v>
      </c>
      <c r="G252" s="18">
        <v>209</v>
      </c>
      <c r="H252" s="18">
        <v>484</v>
      </c>
      <c r="I252" s="18">
        <v>19476</v>
      </c>
      <c r="J252" s="18">
        <f t="shared" si="6"/>
        <v>1291.0248510987883</v>
      </c>
      <c r="K252" s="18">
        <f t="shared" si="7"/>
        <v>1775</v>
      </c>
      <c r="L252" s="18">
        <v>18654</v>
      </c>
      <c r="M252" s="18">
        <v>20</v>
      </c>
      <c r="N252" s="19" t="s">
        <v>27</v>
      </c>
      <c r="O252" s="20"/>
      <c r="P252" s="20"/>
      <c r="Q252" s="20"/>
      <c r="R252" s="20"/>
      <c r="S252" s="22"/>
      <c r="T252" s="20" t="str">
        <f>IF(AND(C252&gt;='Campaign Metadata'!B$2,Posts!C252&lt;='Campaign Metadata'!C$2),"During","Before/After")</f>
        <v>Before/After</v>
      </c>
      <c r="U252" s="20" t="str">
        <f>IF(AND(C252&gt;='Campaign Metadata'!B$3,Posts!C252&lt;='Campaign Metadata'!C$3),"During","Before/After")</f>
        <v>Before/After</v>
      </c>
      <c r="V252" s="20" t="str">
        <f>IF(AND(C252&gt;='Campaign Metadata'!B$4,Posts!C252&lt;='Campaign Metadata'!C$4),"During","Before/After")</f>
        <v>Before/After</v>
      </c>
      <c r="W252" s="50" t="str">
        <f>IF(AND(C252&gt;='Campaign Metadata'!B$5,Posts!C252&lt;='Campaign Metadata'!C$5),"During","Before/After")</f>
        <v>Before/After</v>
      </c>
    </row>
    <row r="253" spans="1:23" x14ac:dyDescent="0.25">
      <c r="A253" s="49" t="s">
        <v>427</v>
      </c>
      <c r="B253" s="92" t="s">
        <v>24</v>
      </c>
      <c r="C253" s="35" t="s">
        <v>261</v>
      </c>
      <c r="D253" s="17" t="s">
        <v>32</v>
      </c>
      <c r="E253" s="17" t="s">
        <v>150</v>
      </c>
      <c r="F253" s="18">
        <v>1509</v>
      </c>
      <c r="G253" s="18">
        <v>88</v>
      </c>
      <c r="H253" s="18">
        <v>163</v>
      </c>
      <c r="I253" s="18">
        <v>30180</v>
      </c>
      <c r="J253" s="18">
        <f t="shared" si="6"/>
        <v>1597.0054009277667</v>
      </c>
      <c r="K253" s="18">
        <f t="shared" si="7"/>
        <v>1760</v>
      </c>
      <c r="L253" s="18">
        <v>29689</v>
      </c>
      <c r="M253" s="18">
        <v>119</v>
      </c>
      <c r="N253" s="19" t="s">
        <v>34</v>
      </c>
      <c r="O253" s="20"/>
      <c r="P253" s="20"/>
      <c r="Q253" s="20"/>
      <c r="R253" s="20"/>
      <c r="S253" s="22" t="s">
        <v>22</v>
      </c>
      <c r="T253" s="20" t="str">
        <f>IF(AND(C253&gt;='Campaign Metadata'!B$2,Posts!C253&lt;='Campaign Metadata'!C$2),"During","Before/After")</f>
        <v>Before/After</v>
      </c>
      <c r="U253" s="20" t="str">
        <f>IF(AND(C253&gt;='Campaign Metadata'!B$3,Posts!C253&lt;='Campaign Metadata'!C$3),"During","Before/After")</f>
        <v>Before/After</v>
      </c>
      <c r="V253" s="20" t="str">
        <f>IF(AND(C253&gt;='Campaign Metadata'!B$4,Posts!C253&lt;='Campaign Metadata'!C$4),"During","Before/After")</f>
        <v>Before/After</v>
      </c>
      <c r="W253" s="50" t="str">
        <f>IF(AND(C253&gt;='Campaign Metadata'!B$5,Posts!C253&lt;='Campaign Metadata'!C$5),"During","Before/After")</f>
        <v>Before/After</v>
      </c>
    </row>
    <row r="254" spans="1:23" x14ac:dyDescent="0.25">
      <c r="A254" s="49" t="s">
        <v>283</v>
      </c>
      <c r="B254" s="92" t="s">
        <v>24</v>
      </c>
      <c r="C254" s="35" t="s">
        <v>284</v>
      </c>
      <c r="D254" s="17" t="s">
        <v>42</v>
      </c>
      <c r="E254" s="17" t="s">
        <v>65</v>
      </c>
      <c r="F254" s="18">
        <v>736</v>
      </c>
      <c r="G254" s="18">
        <v>771</v>
      </c>
      <c r="H254" s="18">
        <v>225</v>
      </c>
      <c r="I254" s="18">
        <v>5152</v>
      </c>
      <c r="J254" s="18">
        <f t="shared" si="6"/>
        <v>1507.0436723602484</v>
      </c>
      <c r="K254" s="18">
        <f t="shared" si="7"/>
        <v>1732</v>
      </c>
      <c r="L254" s="18">
        <v>4706</v>
      </c>
      <c r="M254" s="18">
        <v>19</v>
      </c>
      <c r="N254" s="19" t="s">
        <v>34</v>
      </c>
      <c r="O254" s="20"/>
      <c r="P254" s="20"/>
      <c r="Q254" s="20"/>
      <c r="R254" s="20"/>
      <c r="S254" s="21" t="s">
        <v>17</v>
      </c>
      <c r="T254" s="20" t="str">
        <f>IF(AND(C254&gt;='Campaign Metadata'!B$2,Posts!C254&lt;='Campaign Metadata'!C$2),"During","Before/After")</f>
        <v>Before/After</v>
      </c>
      <c r="U254" s="20" t="str">
        <f>IF(AND(C254&gt;='Campaign Metadata'!B$3,Posts!C254&lt;='Campaign Metadata'!C$3),"During","Before/After")</f>
        <v>Before/After</v>
      </c>
      <c r="V254" s="20" t="str">
        <f>IF(AND(C254&gt;='Campaign Metadata'!B$4,Posts!C254&lt;='Campaign Metadata'!C$4),"During","Before/After")</f>
        <v>Before/After</v>
      </c>
      <c r="W254" s="50" t="str">
        <f>IF(AND(C254&gt;='Campaign Metadata'!B$5,Posts!C254&lt;='Campaign Metadata'!C$5),"During","Before/After")</f>
        <v>Before/After</v>
      </c>
    </row>
    <row r="255" spans="1:23" x14ac:dyDescent="0.25">
      <c r="A255" s="49" t="s">
        <v>348</v>
      </c>
      <c r="B255" s="92" t="s">
        <v>13</v>
      </c>
      <c r="C255" s="35" t="s">
        <v>67</v>
      </c>
      <c r="D255" s="17" t="s">
        <v>15</v>
      </c>
      <c r="E255" s="17" t="s">
        <v>16</v>
      </c>
      <c r="F255" s="18">
        <v>1076</v>
      </c>
      <c r="G255" s="18">
        <v>313</v>
      </c>
      <c r="H255" s="18">
        <v>306</v>
      </c>
      <c r="I255" s="18">
        <v>11836</v>
      </c>
      <c r="J255" s="18">
        <f t="shared" si="6"/>
        <v>1389.0258533288272</v>
      </c>
      <c r="K255" s="18">
        <f t="shared" si="7"/>
        <v>1695</v>
      </c>
      <c r="L255" s="18">
        <v>11596</v>
      </c>
      <c r="M255" s="18">
        <v>104</v>
      </c>
      <c r="N255" s="19" t="s">
        <v>59</v>
      </c>
      <c r="O255" s="20"/>
      <c r="P255" s="20"/>
      <c r="Q255" s="20"/>
      <c r="R255" s="20"/>
      <c r="S255" s="21" t="s">
        <v>17</v>
      </c>
      <c r="T255" s="20" t="str">
        <f>IF(AND(C255&gt;='Campaign Metadata'!B$2,Posts!C255&lt;='Campaign Metadata'!C$2),"During","Before/After")</f>
        <v>Before/After</v>
      </c>
      <c r="U255" s="20" t="str">
        <f>IF(AND(C255&gt;='Campaign Metadata'!B$3,Posts!C255&lt;='Campaign Metadata'!C$3),"During","Before/After")</f>
        <v>Before/After</v>
      </c>
      <c r="V255" s="20" t="str">
        <f>IF(AND(C255&gt;='Campaign Metadata'!B$4,Posts!C255&lt;='Campaign Metadata'!C$4),"During","Before/After")</f>
        <v>Before/After</v>
      </c>
      <c r="W255" s="50" t="str">
        <f>IF(AND(C255&gt;='Campaign Metadata'!B$5,Posts!C255&lt;='Campaign Metadata'!C$5),"During","Before/After")</f>
        <v>Before/After</v>
      </c>
    </row>
    <row r="256" spans="1:23" x14ac:dyDescent="0.25">
      <c r="A256" s="49" t="s">
        <v>63</v>
      </c>
      <c r="B256" s="92" t="s">
        <v>24</v>
      </c>
      <c r="C256" s="35" t="s">
        <v>64</v>
      </c>
      <c r="D256" s="17" t="s">
        <v>42</v>
      </c>
      <c r="E256" s="17" t="s">
        <v>65</v>
      </c>
      <c r="F256" s="18">
        <v>1171</v>
      </c>
      <c r="G256" s="18">
        <v>286</v>
      </c>
      <c r="H256" s="18">
        <v>231</v>
      </c>
      <c r="I256" s="18">
        <v>22249</v>
      </c>
      <c r="J256" s="18">
        <f t="shared" si="6"/>
        <v>1457.0103824891007</v>
      </c>
      <c r="K256" s="18">
        <f t="shared" si="7"/>
        <v>1688</v>
      </c>
      <c r="L256" s="18">
        <v>21282</v>
      </c>
      <c r="M256" s="18">
        <v>114</v>
      </c>
      <c r="N256" s="19" t="s">
        <v>34</v>
      </c>
      <c r="O256" s="20"/>
      <c r="P256" s="20"/>
      <c r="Q256" s="20"/>
      <c r="R256" s="20"/>
      <c r="S256" s="21" t="s">
        <v>17</v>
      </c>
      <c r="T256" s="20" t="str">
        <f>IF(AND(C256&gt;='Campaign Metadata'!B$2,Posts!C256&lt;='Campaign Metadata'!C$2),"During","Before/After")</f>
        <v>Before/After</v>
      </c>
      <c r="U256" s="20" t="str">
        <f>IF(AND(C256&gt;='Campaign Metadata'!B$3,Posts!C256&lt;='Campaign Metadata'!C$3),"During","Before/After")</f>
        <v>Before/After</v>
      </c>
      <c r="V256" s="20" t="str">
        <f>IF(AND(C256&gt;='Campaign Metadata'!B$4,Posts!C256&lt;='Campaign Metadata'!C$4),"During","Before/After")</f>
        <v>Before/After</v>
      </c>
      <c r="W256" s="50" t="str">
        <f>IF(AND(C256&gt;='Campaign Metadata'!B$5,Posts!C256&lt;='Campaign Metadata'!C$5),"During","Before/After")</f>
        <v>Before/After</v>
      </c>
    </row>
    <row r="257" spans="1:23" x14ac:dyDescent="0.25">
      <c r="A257" s="49" t="s">
        <v>153</v>
      </c>
      <c r="B257" s="92" t="s">
        <v>40</v>
      </c>
      <c r="C257" s="35" t="s">
        <v>154</v>
      </c>
      <c r="D257" s="17" t="s">
        <v>49</v>
      </c>
      <c r="E257" s="17" t="s">
        <v>56</v>
      </c>
      <c r="F257" s="18">
        <v>947</v>
      </c>
      <c r="G257" s="18">
        <v>338</v>
      </c>
      <c r="H257" s="18">
        <v>350</v>
      </c>
      <c r="I257" s="18">
        <v>10417</v>
      </c>
      <c r="J257" s="18">
        <f t="shared" si="6"/>
        <v>1285.0335989248345</v>
      </c>
      <c r="K257" s="18">
        <f t="shared" si="7"/>
        <v>1635</v>
      </c>
      <c r="L257" s="18">
        <v>9730</v>
      </c>
      <c r="M257" s="18">
        <v>34</v>
      </c>
      <c r="N257" s="19" t="s">
        <v>27</v>
      </c>
      <c r="O257" s="20"/>
      <c r="P257" s="20"/>
      <c r="Q257" s="20"/>
      <c r="R257" s="20"/>
      <c r="S257" s="22" t="s">
        <v>35</v>
      </c>
      <c r="T257" s="20" t="str">
        <f>IF(AND(C257&gt;='Campaign Metadata'!B$2,Posts!C257&lt;='Campaign Metadata'!C$2),"During","Before/After")</f>
        <v>Before/After</v>
      </c>
      <c r="U257" s="20" t="str">
        <f>IF(AND(C257&gt;='Campaign Metadata'!B$3,Posts!C257&lt;='Campaign Metadata'!C$3),"During","Before/After")</f>
        <v>Before/After</v>
      </c>
      <c r="V257" s="20" t="str">
        <f>IF(AND(C257&gt;='Campaign Metadata'!B$4,Posts!C257&lt;='Campaign Metadata'!C$4),"During","Before/After")</f>
        <v>Before/After</v>
      </c>
      <c r="W257" s="50" t="str">
        <f>IF(AND(C257&gt;='Campaign Metadata'!B$5,Posts!C257&lt;='Campaign Metadata'!C$5),"During","Before/After")</f>
        <v>During</v>
      </c>
    </row>
    <row r="258" spans="1:23" x14ac:dyDescent="0.25">
      <c r="A258" s="49" t="s">
        <v>454</v>
      </c>
      <c r="B258" s="92" t="s">
        <v>40</v>
      </c>
      <c r="C258" s="35" t="s">
        <v>78</v>
      </c>
      <c r="D258" s="17" t="s">
        <v>20</v>
      </c>
      <c r="E258" s="17" t="s">
        <v>53</v>
      </c>
      <c r="F258" s="18">
        <v>1257</v>
      </c>
      <c r="G258" s="18">
        <v>19</v>
      </c>
      <c r="H258" s="18">
        <v>351</v>
      </c>
      <c r="I258" s="18">
        <v>12570</v>
      </c>
      <c r="J258" s="18">
        <f t="shared" ref="J258:J301" si="8">F258+G258+H258/I258</f>
        <v>1276.0279236276849</v>
      </c>
      <c r="K258" s="18">
        <f t="shared" ref="K258:K301" si="9">F258+G258+H258</f>
        <v>1627</v>
      </c>
      <c r="L258" s="18">
        <v>11660</v>
      </c>
      <c r="M258" s="18">
        <v>194</v>
      </c>
      <c r="N258" s="19" t="s">
        <v>59</v>
      </c>
      <c r="O258" s="20" t="s">
        <v>597</v>
      </c>
      <c r="P258" s="20" t="s">
        <v>34</v>
      </c>
      <c r="Q258" s="20"/>
      <c r="R258" s="20"/>
      <c r="S258" s="22" t="s">
        <v>22</v>
      </c>
      <c r="T258" s="20" t="str">
        <f>IF(AND(C258&gt;='Campaign Metadata'!B$2,Posts!C258&lt;='Campaign Metadata'!C$2),"During","Before/After")</f>
        <v>Before/After</v>
      </c>
      <c r="U258" s="20" t="str">
        <f>IF(AND(C258&gt;='Campaign Metadata'!B$3,Posts!C258&lt;='Campaign Metadata'!C$3),"During","Before/After")</f>
        <v>Before/After</v>
      </c>
      <c r="V258" s="20" t="str">
        <f>IF(AND(C258&gt;='Campaign Metadata'!B$4,Posts!C258&lt;='Campaign Metadata'!C$4),"During","Before/After")</f>
        <v>Before/After</v>
      </c>
      <c r="W258" s="50" t="str">
        <f>IF(AND(C258&gt;='Campaign Metadata'!B$5,Posts!C258&lt;='Campaign Metadata'!C$5),"During","Before/After")</f>
        <v>Before/After</v>
      </c>
    </row>
    <row r="259" spans="1:23" x14ac:dyDescent="0.25">
      <c r="A259" s="49" t="s">
        <v>394</v>
      </c>
      <c r="B259" s="92" t="s">
        <v>30</v>
      </c>
      <c r="C259" s="35" t="s">
        <v>395</v>
      </c>
      <c r="D259" s="17" t="s">
        <v>42</v>
      </c>
      <c r="E259" s="17" t="s">
        <v>85</v>
      </c>
      <c r="F259" s="18">
        <v>914</v>
      </c>
      <c r="G259" s="18">
        <v>464</v>
      </c>
      <c r="H259" s="18">
        <v>246</v>
      </c>
      <c r="I259" s="18">
        <v>11882</v>
      </c>
      <c r="J259" s="18">
        <f t="shared" si="8"/>
        <v>1378.020703585255</v>
      </c>
      <c r="K259" s="18">
        <f t="shared" si="9"/>
        <v>1624</v>
      </c>
      <c r="L259" s="18">
        <v>11500</v>
      </c>
      <c r="M259" s="18">
        <v>282</v>
      </c>
      <c r="N259" s="19" t="s">
        <v>59</v>
      </c>
      <c r="O259" s="20" t="s">
        <v>27</v>
      </c>
      <c r="P259" s="20" t="s">
        <v>597</v>
      </c>
      <c r="Q259" s="20"/>
      <c r="R259" s="20"/>
      <c r="S259" s="22" t="s">
        <v>35</v>
      </c>
      <c r="T259" s="20" t="str">
        <f>IF(AND(C259&gt;='Campaign Metadata'!B$2,Posts!C259&lt;='Campaign Metadata'!C$2),"During","Before/After")</f>
        <v>Before/After</v>
      </c>
      <c r="U259" s="20" t="str">
        <f>IF(AND(C259&gt;='Campaign Metadata'!B$3,Posts!C259&lt;='Campaign Metadata'!C$3),"During","Before/After")</f>
        <v>Before/After</v>
      </c>
      <c r="V259" s="20" t="str">
        <f>IF(AND(C259&gt;='Campaign Metadata'!B$4,Posts!C259&lt;='Campaign Metadata'!C$4),"During","Before/After")</f>
        <v>Before/After</v>
      </c>
      <c r="W259" s="50" t="str">
        <f>IF(AND(C259&gt;='Campaign Metadata'!B$5,Posts!C259&lt;='Campaign Metadata'!C$5),"During","Before/After")</f>
        <v>Before/After</v>
      </c>
    </row>
    <row r="260" spans="1:23" x14ac:dyDescent="0.25">
      <c r="A260" s="49" t="s">
        <v>418</v>
      </c>
      <c r="B260" s="92" t="s">
        <v>24</v>
      </c>
      <c r="C260" s="35" t="s">
        <v>341</v>
      </c>
      <c r="D260" s="17" t="s">
        <v>49</v>
      </c>
      <c r="E260" s="17" t="s">
        <v>50</v>
      </c>
      <c r="F260" s="18">
        <v>257</v>
      </c>
      <c r="G260" s="18">
        <v>966</v>
      </c>
      <c r="H260" s="18">
        <v>398</v>
      </c>
      <c r="I260" s="18">
        <v>3341</v>
      </c>
      <c r="J260" s="18">
        <f t="shared" si="8"/>
        <v>1223.1191260101766</v>
      </c>
      <c r="K260" s="18">
        <f t="shared" si="9"/>
        <v>1621</v>
      </c>
      <c r="L260" s="18">
        <v>2753</v>
      </c>
      <c r="M260" s="18">
        <v>287</v>
      </c>
      <c r="N260" s="19" t="s">
        <v>59</v>
      </c>
      <c r="O260" s="20"/>
      <c r="P260" s="20"/>
      <c r="Q260" s="20"/>
      <c r="R260" s="20"/>
      <c r="S260" s="21" t="s">
        <v>17</v>
      </c>
      <c r="T260" s="20" t="str">
        <f>IF(AND(C260&gt;='Campaign Metadata'!B$2,Posts!C260&lt;='Campaign Metadata'!C$2),"During","Before/After")</f>
        <v>Before/After</v>
      </c>
      <c r="U260" s="20" t="str">
        <f>IF(AND(C260&gt;='Campaign Metadata'!B$3,Posts!C260&lt;='Campaign Metadata'!C$3),"During","Before/After")</f>
        <v>Before/After</v>
      </c>
      <c r="V260" s="20" t="str">
        <f>IF(AND(C260&gt;='Campaign Metadata'!B$4,Posts!C260&lt;='Campaign Metadata'!C$4),"During","Before/After")</f>
        <v>Before/After</v>
      </c>
      <c r="W260" s="50" t="str">
        <f>IF(AND(C260&gt;='Campaign Metadata'!B$5,Posts!C260&lt;='Campaign Metadata'!C$5),"During","Before/After")</f>
        <v>Before/After</v>
      </c>
    </row>
    <row r="261" spans="1:23" x14ac:dyDescent="0.25">
      <c r="A261" s="49" t="s">
        <v>80</v>
      </c>
      <c r="B261" s="92" t="s">
        <v>30</v>
      </c>
      <c r="C261" s="35" t="s">
        <v>81</v>
      </c>
      <c r="D261" s="17" t="s">
        <v>71</v>
      </c>
      <c r="E261" s="17" t="s">
        <v>82</v>
      </c>
      <c r="F261" s="18">
        <v>1071</v>
      </c>
      <c r="G261" s="18">
        <v>519</v>
      </c>
      <c r="H261" s="18">
        <v>22</v>
      </c>
      <c r="I261" s="18">
        <v>16065</v>
      </c>
      <c r="J261" s="18">
        <f t="shared" si="8"/>
        <v>1590.0013694366635</v>
      </c>
      <c r="K261" s="18">
        <f t="shared" si="9"/>
        <v>1612</v>
      </c>
      <c r="L261" s="18">
        <v>15865</v>
      </c>
      <c r="M261" s="18">
        <v>103</v>
      </c>
      <c r="N261" s="19" t="s">
        <v>27</v>
      </c>
      <c r="O261" s="20"/>
      <c r="P261" s="20"/>
      <c r="Q261" s="20"/>
      <c r="R261" s="20"/>
      <c r="S261" s="22" t="s">
        <v>35</v>
      </c>
      <c r="T261" s="20" t="str">
        <f>IF(AND(C261&gt;='Campaign Metadata'!B$2,Posts!C261&lt;='Campaign Metadata'!C$2),"During","Before/After")</f>
        <v>During</v>
      </c>
      <c r="U261" s="20" t="str">
        <f>IF(AND(C261&gt;='Campaign Metadata'!B$3,Posts!C261&lt;='Campaign Metadata'!C$3),"During","Before/After")</f>
        <v>Before/After</v>
      </c>
      <c r="V261" s="20" t="str">
        <f>IF(AND(C261&gt;='Campaign Metadata'!B$4,Posts!C261&lt;='Campaign Metadata'!C$4),"During","Before/After")</f>
        <v>Before/After</v>
      </c>
      <c r="W261" s="50" t="str">
        <f>IF(AND(C261&gt;='Campaign Metadata'!B$5,Posts!C261&lt;='Campaign Metadata'!C$5),"During","Before/After")</f>
        <v>Before/After</v>
      </c>
    </row>
    <row r="262" spans="1:23" x14ac:dyDescent="0.25">
      <c r="A262" s="49" t="s">
        <v>280</v>
      </c>
      <c r="B262" s="92" t="s">
        <v>30</v>
      </c>
      <c r="C262" s="35" t="s">
        <v>261</v>
      </c>
      <c r="D262" s="17" t="s">
        <v>32</v>
      </c>
      <c r="E262" s="17" t="s">
        <v>33</v>
      </c>
      <c r="F262" s="18">
        <v>498</v>
      </c>
      <c r="G262" s="18">
        <v>701</v>
      </c>
      <c r="H262" s="18">
        <v>412</v>
      </c>
      <c r="I262" s="18">
        <v>4980</v>
      </c>
      <c r="J262" s="18">
        <f t="shared" si="8"/>
        <v>1199.0827309236947</v>
      </c>
      <c r="K262" s="18">
        <f t="shared" si="9"/>
        <v>1611</v>
      </c>
      <c r="L262" s="18">
        <v>4185</v>
      </c>
      <c r="M262" s="18">
        <v>185</v>
      </c>
      <c r="N262" s="19" t="s">
        <v>59</v>
      </c>
      <c r="O262" s="20"/>
      <c r="P262" s="20"/>
      <c r="Q262" s="20"/>
      <c r="R262" s="20"/>
      <c r="S262" s="22"/>
      <c r="T262" s="20" t="str">
        <f>IF(AND(C262&gt;='Campaign Metadata'!B$2,Posts!C262&lt;='Campaign Metadata'!C$2),"During","Before/After")</f>
        <v>Before/After</v>
      </c>
      <c r="U262" s="20" t="str">
        <f>IF(AND(C262&gt;='Campaign Metadata'!B$3,Posts!C262&lt;='Campaign Metadata'!C$3),"During","Before/After")</f>
        <v>Before/After</v>
      </c>
      <c r="V262" s="20" t="str">
        <f>IF(AND(C262&gt;='Campaign Metadata'!B$4,Posts!C262&lt;='Campaign Metadata'!C$4),"During","Before/After")</f>
        <v>Before/After</v>
      </c>
      <c r="W262" s="50" t="str">
        <f>IF(AND(C262&gt;='Campaign Metadata'!B$5,Posts!C262&lt;='Campaign Metadata'!C$5),"During","Before/After")</f>
        <v>Before/After</v>
      </c>
    </row>
    <row r="263" spans="1:23" x14ac:dyDescent="0.25">
      <c r="A263" s="49" t="s">
        <v>210</v>
      </c>
      <c r="B263" s="92" t="s">
        <v>24</v>
      </c>
      <c r="C263" s="35" t="s">
        <v>211</v>
      </c>
      <c r="D263" s="17" t="s">
        <v>71</v>
      </c>
      <c r="E263" s="17" t="s">
        <v>212</v>
      </c>
      <c r="F263" s="18">
        <v>1094</v>
      </c>
      <c r="G263" s="18">
        <v>472</v>
      </c>
      <c r="H263" s="18">
        <v>21</v>
      </c>
      <c r="I263" s="18">
        <v>9846</v>
      </c>
      <c r="J263" s="18">
        <f t="shared" si="8"/>
        <v>1566.0021328458258</v>
      </c>
      <c r="K263" s="18">
        <f t="shared" si="9"/>
        <v>1587</v>
      </c>
      <c r="L263" s="18">
        <v>9609</v>
      </c>
      <c r="M263" s="18">
        <v>112</v>
      </c>
      <c r="N263" s="19" t="s">
        <v>34</v>
      </c>
      <c r="O263" s="20"/>
      <c r="P263" s="20"/>
      <c r="Q263" s="20"/>
      <c r="R263" s="20"/>
      <c r="S263" s="22"/>
      <c r="T263" s="20" t="str">
        <f>IF(AND(C263&gt;='Campaign Metadata'!B$2,Posts!C263&lt;='Campaign Metadata'!C$2),"During","Before/After")</f>
        <v>Before/After</v>
      </c>
      <c r="U263" s="20" t="str">
        <f>IF(AND(C263&gt;='Campaign Metadata'!B$3,Posts!C263&lt;='Campaign Metadata'!C$3),"During","Before/After")</f>
        <v>Before/After</v>
      </c>
      <c r="V263" s="20" t="str">
        <f>IF(AND(C263&gt;='Campaign Metadata'!B$4,Posts!C263&lt;='Campaign Metadata'!C$4),"During","Before/After")</f>
        <v>During</v>
      </c>
      <c r="W263" s="50" t="str">
        <f>IF(AND(C263&gt;='Campaign Metadata'!B$5,Posts!C263&lt;='Campaign Metadata'!C$5),"During","Before/After")</f>
        <v>Before/After</v>
      </c>
    </row>
    <row r="264" spans="1:23" x14ac:dyDescent="0.25">
      <c r="A264" s="49" t="s">
        <v>424</v>
      </c>
      <c r="B264" s="92" t="s">
        <v>30</v>
      </c>
      <c r="C264" s="35" t="s">
        <v>14</v>
      </c>
      <c r="D264" s="17" t="s">
        <v>49</v>
      </c>
      <c r="E264" s="17" t="s">
        <v>209</v>
      </c>
      <c r="F264" s="18">
        <v>521</v>
      </c>
      <c r="G264" s="18">
        <v>746</v>
      </c>
      <c r="H264" s="18">
        <v>315</v>
      </c>
      <c r="I264" s="18">
        <v>4168</v>
      </c>
      <c r="J264" s="18">
        <f t="shared" si="8"/>
        <v>1267.0755758157391</v>
      </c>
      <c r="K264" s="18">
        <f t="shared" si="9"/>
        <v>1582</v>
      </c>
      <c r="L264" s="18">
        <v>3399</v>
      </c>
      <c r="M264" s="18">
        <v>282</v>
      </c>
      <c r="N264" s="19" t="s">
        <v>59</v>
      </c>
      <c r="O264" s="20"/>
      <c r="P264" s="20"/>
      <c r="Q264" s="20"/>
      <c r="R264" s="20"/>
      <c r="S264" s="22" t="s">
        <v>22</v>
      </c>
      <c r="T264" s="20" t="str">
        <f>IF(AND(C264&gt;='Campaign Metadata'!B$2,Posts!C264&lt;='Campaign Metadata'!C$2),"During","Before/After")</f>
        <v>Before/After</v>
      </c>
      <c r="U264" s="20" t="str">
        <f>IF(AND(C264&gt;='Campaign Metadata'!B$3,Posts!C264&lt;='Campaign Metadata'!C$3),"During","Before/After")</f>
        <v>Before/After</v>
      </c>
      <c r="V264" s="20" t="str">
        <f>IF(AND(C264&gt;='Campaign Metadata'!B$4,Posts!C264&lt;='Campaign Metadata'!C$4),"During","Before/After")</f>
        <v>Before/After</v>
      </c>
      <c r="W264" s="50" t="str">
        <f>IF(AND(C264&gt;='Campaign Metadata'!B$5,Posts!C264&lt;='Campaign Metadata'!C$5),"During","Before/After")</f>
        <v>Before/After</v>
      </c>
    </row>
    <row r="265" spans="1:23" x14ac:dyDescent="0.25">
      <c r="A265" s="49" t="s">
        <v>201</v>
      </c>
      <c r="B265" s="92" t="s">
        <v>13</v>
      </c>
      <c r="C265" s="35" t="s">
        <v>159</v>
      </c>
      <c r="D265" s="17" t="s">
        <v>49</v>
      </c>
      <c r="E265" s="17" t="s">
        <v>128</v>
      </c>
      <c r="F265" s="18">
        <v>954</v>
      </c>
      <c r="G265" s="18">
        <v>324</v>
      </c>
      <c r="H265" s="18">
        <v>288</v>
      </c>
      <c r="I265" s="18">
        <v>19080</v>
      </c>
      <c r="J265" s="18">
        <f t="shared" si="8"/>
        <v>1278.0150943396227</v>
      </c>
      <c r="K265" s="18">
        <f t="shared" si="9"/>
        <v>1566</v>
      </c>
      <c r="L265" s="18">
        <v>18859</v>
      </c>
      <c r="M265" s="18">
        <v>21</v>
      </c>
      <c r="N265" s="19" t="s">
        <v>59</v>
      </c>
      <c r="O265" s="20"/>
      <c r="P265" s="20"/>
      <c r="Q265" s="20"/>
      <c r="R265" s="20"/>
      <c r="S265" s="22" t="s">
        <v>35</v>
      </c>
      <c r="T265" s="20" t="str">
        <f>IF(AND(C265&gt;='Campaign Metadata'!B$2,Posts!C265&lt;='Campaign Metadata'!C$2),"During","Before/After")</f>
        <v>During</v>
      </c>
      <c r="U265" s="20" t="str">
        <f>IF(AND(C265&gt;='Campaign Metadata'!B$3,Posts!C265&lt;='Campaign Metadata'!C$3),"During","Before/After")</f>
        <v>Before/After</v>
      </c>
      <c r="V265" s="20" t="str">
        <f>IF(AND(C265&gt;='Campaign Metadata'!B$4,Posts!C265&lt;='Campaign Metadata'!C$4),"During","Before/After")</f>
        <v>Before/After</v>
      </c>
      <c r="W265" s="50" t="str">
        <f>IF(AND(C265&gt;='Campaign Metadata'!B$5,Posts!C265&lt;='Campaign Metadata'!C$5),"During","Before/After")</f>
        <v>Before/After</v>
      </c>
    </row>
    <row r="266" spans="1:23" x14ac:dyDescent="0.25">
      <c r="A266" s="49" t="s">
        <v>538</v>
      </c>
      <c r="B266" s="92" t="s">
        <v>40</v>
      </c>
      <c r="C266" s="35" t="s">
        <v>539</v>
      </c>
      <c r="D266" s="17" t="s">
        <v>20</v>
      </c>
      <c r="E266" s="17" t="s">
        <v>53</v>
      </c>
      <c r="F266" s="18">
        <v>880</v>
      </c>
      <c r="G266" s="18">
        <v>297</v>
      </c>
      <c r="H266" s="18">
        <v>345</v>
      </c>
      <c r="I266" s="18">
        <v>12320</v>
      </c>
      <c r="J266" s="18">
        <f t="shared" si="8"/>
        <v>1177.0280032467533</v>
      </c>
      <c r="K266" s="18">
        <f t="shared" si="9"/>
        <v>1522</v>
      </c>
      <c r="L266" s="18">
        <v>11978</v>
      </c>
      <c r="M266" s="18">
        <v>238</v>
      </c>
      <c r="N266" s="19" t="s">
        <v>27</v>
      </c>
      <c r="O266" s="20" t="s">
        <v>597</v>
      </c>
      <c r="P266" s="20"/>
      <c r="Q266" s="20"/>
      <c r="R266" s="20"/>
      <c r="S266" s="22"/>
      <c r="T266" s="20" t="str">
        <f>IF(AND(C266&gt;='Campaign Metadata'!B$2,Posts!C266&lt;='Campaign Metadata'!C$2),"During","Before/After")</f>
        <v>Before/After</v>
      </c>
      <c r="U266" s="20" t="str">
        <f>IF(AND(C266&gt;='Campaign Metadata'!B$3,Posts!C266&lt;='Campaign Metadata'!C$3),"During","Before/After")</f>
        <v>Before/After</v>
      </c>
      <c r="V266" s="20" t="str">
        <f>IF(AND(C266&gt;='Campaign Metadata'!B$4,Posts!C266&lt;='Campaign Metadata'!C$4),"During","Before/After")</f>
        <v>Before/After</v>
      </c>
      <c r="W266" s="50" t="str">
        <f>IF(AND(C266&gt;='Campaign Metadata'!B$5,Posts!C266&lt;='Campaign Metadata'!C$5),"During","Before/After")</f>
        <v>Before/After</v>
      </c>
    </row>
    <row r="267" spans="1:23" x14ac:dyDescent="0.25">
      <c r="A267" s="49" t="s">
        <v>412</v>
      </c>
      <c r="B267" s="92" t="s">
        <v>13</v>
      </c>
      <c r="C267" s="35" t="s">
        <v>45</v>
      </c>
      <c r="D267" s="17" t="s">
        <v>20</v>
      </c>
      <c r="E267" s="17" t="s">
        <v>21</v>
      </c>
      <c r="F267" s="18">
        <v>941</v>
      </c>
      <c r="G267" s="18">
        <v>121</v>
      </c>
      <c r="H267" s="18">
        <v>458</v>
      </c>
      <c r="I267" s="18">
        <v>14115</v>
      </c>
      <c r="J267" s="18">
        <f t="shared" si="8"/>
        <v>1062.0324477506199</v>
      </c>
      <c r="K267" s="18">
        <f t="shared" si="9"/>
        <v>1520</v>
      </c>
      <c r="L267" s="18">
        <v>13838</v>
      </c>
      <c r="M267" s="18">
        <v>87</v>
      </c>
      <c r="N267" s="19" t="s">
        <v>34</v>
      </c>
      <c r="O267" s="20"/>
      <c r="P267" s="20"/>
      <c r="Q267" s="20"/>
      <c r="R267" s="20"/>
      <c r="S267" s="21" t="s">
        <v>17</v>
      </c>
      <c r="T267" s="20" t="str">
        <f>IF(AND(C267&gt;='Campaign Metadata'!B$2,Posts!C267&lt;='Campaign Metadata'!C$2),"During","Before/After")</f>
        <v>During</v>
      </c>
      <c r="U267" s="20" t="str">
        <f>IF(AND(C267&gt;='Campaign Metadata'!B$3,Posts!C267&lt;='Campaign Metadata'!C$3),"During","Before/After")</f>
        <v>Before/After</v>
      </c>
      <c r="V267" s="20" t="str">
        <f>IF(AND(C267&gt;='Campaign Metadata'!B$4,Posts!C267&lt;='Campaign Metadata'!C$4),"During","Before/After")</f>
        <v>Before/After</v>
      </c>
      <c r="W267" s="50" t="str">
        <f>IF(AND(C267&gt;='Campaign Metadata'!B$5,Posts!C267&lt;='Campaign Metadata'!C$5),"During","Before/After")</f>
        <v>Before/After</v>
      </c>
    </row>
    <row r="268" spans="1:23" x14ac:dyDescent="0.25">
      <c r="A268" s="49" t="s">
        <v>469</v>
      </c>
      <c r="B268" s="92" t="s">
        <v>40</v>
      </c>
      <c r="C268" s="35" t="s">
        <v>470</v>
      </c>
      <c r="D268" s="17" t="s">
        <v>49</v>
      </c>
      <c r="E268" s="17" t="s">
        <v>56</v>
      </c>
      <c r="F268" s="18">
        <v>400</v>
      </c>
      <c r="G268" s="18">
        <v>680</v>
      </c>
      <c r="H268" s="18">
        <v>434</v>
      </c>
      <c r="I268" s="18">
        <v>6400</v>
      </c>
      <c r="J268" s="18">
        <f t="shared" si="8"/>
        <v>1080.0678124999999</v>
      </c>
      <c r="K268" s="18">
        <f t="shared" si="9"/>
        <v>1514</v>
      </c>
      <c r="L268" s="18">
        <v>5472</v>
      </c>
      <c r="M268" s="18">
        <v>160</v>
      </c>
      <c r="N268" s="19" t="s">
        <v>59</v>
      </c>
      <c r="O268" s="20"/>
      <c r="P268" s="20"/>
      <c r="Q268" s="20"/>
      <c r="R268" s="20"/>
      <c r="S268" s="22" t="s">
        <v>22</v>
      </c>
      <c r="T268" s="20" t="str">
        <f>IF(AND(C268&gt;='Campaign Metadata'!B$2,Posts!C268&lt;='Campaign Metadata'!C$2),"During","Before/After")</f>
        <v>Before/After</v>
      </c>
      <c r="U268" s="20" t="str">
        <f>IF(AND(C268&gt;='Campaign Metadata'!B$3,Posts!C268&lt;='Campaign Metadata'!C$3),"During","Before/After")</f>
        <v>Before/After</v>
      </c>
      <c r="V268" s="20" t="str">
        <f>IF(AND(C268&gt;='Campaign Metadata'!B$4,Posts!C268&lt;='Campaign Metadata'!C$4),"During","Before/After")</f>
        <v>During</v>
      </c>
      <c r="W268" s="50" t="str">
        <f>IF(AND(C268&gt;='Campaign Metadata'!B$5,Posts!C268&lt;='Campaign Metadata'!C$5),"During","Before/After")</f>
        <v>Before/After</v>
      </c>
    </row>
    <row r="269" spans="1:23" x14ac:dyDescent="0.25">
      <c r="A269" s="49" t="s">
        <v>129</v>
      </c>
      <c r="B269" s="92" t="s">
        <v>30</v>
      </c>
      <c r="C269" s="35" t="s">
        <v>130</v>
      </c>
      <c r="D269" s="17" t="s">
        <v>15</v>
      </c>
      <c r="E269" s="17" t="s">
        <v>79</v>
      </c>
      <c r="F269" s="18">
        <v>456</v>
      </c>
      <c r="G269" s="18">
        <v>629</v>
      </c>
      <c r="H269" s="18">
        <v>428</v>
      </c>
      <c r="I269" s="18">
        <v>8208</v>
      </c>
      <c r="J269" s="18">
        <f t="shared" si="8"/>
        <v>1085.0521442495126</v>
      </c>
      <c r="K269" s="18">
        <f t="shared" si="9"/>
        <v>1513</v>
      </c>
      <c r="L269" s="18">
        <v>7377</v>
      </c>
      <c r="M269" s="18">
        <v>205</v>
      </c>
      <c r="N269" s="19" t="s">
        <v>59</v>
      </c>
      <c r="O269" s="20"/>
      <c r="P269" s="20"/>
      <c r="Q269" s="20"/>
      <c r="R269" s="20"/>
      <c r="S269" s="22" t="s">
        <v>35</v>
      </c>
      <c r="T269" s="20" t="str">
        <f>IF(AND(C269&gt;='Campaign Metadata'!B$2,Posts!C269&lt;='Campaign Metadata'!C$2),"During","Before/After")</f>
        <v>Before/After</v>
      </c>
      <c r="U269" s="20" t="str">
        <f>IF(AND(C269&gt;='Campaign Metadata'!B$3,Posts!C269&lt;='Campaign Metadata'!C$3),"During","Before/After")</f>
        <v>During</v>
      </c>
      <c r="V269" s="20" t="str">
        <f>IF(AND(C269&gt;='Campaign Metadata'!B$4,Posts!C269&lt;='Campaign Metadata'!C$4),"During","Before/After")</f>
        <v>Before/After</v>
      </c>
      <c r="W269" s="50" t="str">
        <f>IF(AND(C269&gt;='Campaign Metadata'!B$5,Posts!C269&lt;='Campaign Metadata'!C$5),"During","Before/After")</f>
        <v>Before/After</v>
      </c>
    </row>
    <row r="270" spans="1:23" x14ac:dyDescent="0.25">
      <c r="A270" s="49" t="s">
        <v>139</v>
      </c>
      <c r="B270" s="92" t="s">
        <v>13</v>
      </c>
      <c r="C270" s="35" t="s">
        <v>140</v>
      </c>
      <c r="D270" s="17" t="s">
        <v>71</v>
      </c>
      <c r="E270" s="17" t="s">
        <v>141</v>
      </c>
      <c r="F270" s="18">
        <v>1108</v>
      </c>
      <c r="G270" s="18">
        <v>177</v>
      </c>
      <c r="H270" s="18">
        <v>212</v>
      </c>
      <c r="I270" s="18">
        <v>8864</v>
      </c>
      <c r="J270" s="18">
        <f t="shared" si="8"/>
        <v>1285.023916967509</v>
      </c>
      <c r="K270" s="18">
        <f t="shared" si="9"/>
        <v>1497</v>
      </c>
      <c r="L270" s="18">
        <v>8710</v>
      </c>
      <c r="M270" s="18">
        <v>97</v>
      </c>
      <c r="N270" s="19" t="s">
        <v>27</v>
      </c>
      <c r="O270" s="20"/>
      <c r="P270" s="20"/>
      <c r="Q270" s="20"/>
      <c r="R270" s="20"/>
      <c r="S270" s="22" t="s">
        <v>35</v>
      </c>
      <c r="T270" s="20" t="str">
        <f>IF(AND(C270&gt;='Campaign Metadata'!B$2,Posts!C270&lt;='Campaign Metadata'!C$2),"During","Before/After")</f>
        <v>Before/After</v>
      </c>
      <c r="U270" s="20" t="str">
        <f>IF(AND(C270&gt;='Campaign Metadata'!B$3,Posts!C270&lt;='Campaign Metadata'!C$3),"During","Before/After")</f>
        <v>Before/After</v>
      </c>
      <c r="V270" s="20" t="str">
        <f>IF(AND(C270&gt;='Campaign Metadata'!B$4,Posts!C270&lt;='Campaign Metadata'!C$4),"During","Before/After")</f>
        <v>Before/After</v>
      </c>
      <c r="W270" s="50" t="str">
        <f>IF(AND(C270&gt;='Campaign Metadata'!B$5,Posts!C270&lt;='Campaign Metadata'!C$5),"During","Before/After")</f>
        <v>Before/After</v>
      </c>
    </row>
    <row r="271" spans="1:23" x14ac:dyDescent="0.25">
      <c r="A271" s="49" t="s">
        <v>155</v>
      </c>
      <c r="B271" s="92" t="s">
        <v>24</v>
      </c>
      <c r="C271" s="35" t="s">
        <v>143</v>
      </c>
      <c r="D271" s="17" t="s">
        <v>42</v>
      </c>
      <c r="E271" s="17" t="s">
        <v>65</v>
      </c>
      <c r="F271" s="18">
        <v>804</v>
      </c>
      <c r="G271" s="18">
        <v>639</v>
      </c>
      <c r="H271" s="18">
        <v>43</v>
      </c>
      <c r="I271" s="18">
        <v>4020</v>
      </c>
      <c r="J271" s="18">
        <f t="shared" si="8"/>
        <v>1443.010696517413</v>
      </c>
      <c r="K271" s="18">
        <f t="shared" si="9"/>
        <v>1486</v>
      </c>
      <c r="L271" s="18">
        <v>3144</v>
      </c>
      <c r="M271" s="18">
        <v>11</v>
      </c>
      <c r="N271" s="19" t="s">
        <v>34</v>
      </c>
      <c r="O271" s="20" t="s">
        <v>598</v>
      </c>
      <c r="P271" s="20"/>
      <c r="Q271" s="20"/>
      <c r="R271" s="20"/>
      <c r="S271" s="22"/>
      <c r="T271" s="20" t="str">
        <f>IF(AND(C271&gt;='Campaign Metadata'!B$2,Posts!C271&lt;='Campaign Metadata'!C$2),"During","Before/After")</f>
        <v>Before/After</v>
      </c>
      <c r="U271" s="20" t="str">
        <f>IF(AND(C271&gt;='Campaign Metadata'!B$3,Posts!C271&lt;='Campaign Metadata'!C$3),"During","Before/After")</f>
        <v>Before/After</v>
      </c>
      <c r="V271" s="20" t="str">
        <f>IF(AND(C271&gt;='Campaign Metadata'!B$4,Posts!C271&lt;='Campaign Metadata'!C$4),"During","Before/After")</f>
        <v>Before/After</v>
      </c>
      <c r="W271" s="50" t="str">
        <f>IF(AND(C271&gt;='Campaign Metadata'!B$5,Posts!C271&lt;='Campaign Metadata'!C$5),"During","Before/After")</f>
        <v>Before/After</v>
      </c>
    </row>
    <row r="272" spans="1:23" x14ac:dyDescent="0.25">
      <c r="A272" s="49" t="s">
        <v>493</v>
      </c>
      <c r="B272" s="92" t="s">
        <v>24</v>
      </c>
      <c r="C272" s="35" t="s">
        <v>461</v>
      </c>
      <c r="D272" s="17" t="s">
        <v>49</v>
      </c>
      <c r="E272" s="17" t="s">
        <v>50</v>
      </c>
      <c r="F272" s="18">
        <v>1206</v>
      </c>
      <c r="G272" s="18">
        <v>238</v>
      </c>
      <c r="H272" s="18">
        <v>36</v>
      </c>
      <c r="I272" s="18">
        <v>9648</v>
      </c>
      <c r="J272" s="18">
        <f t="shared" si="8"/>
        <v>1444.0037313432836</v>
      </c>
      <c r="K272" s="18">
        <f t="shared" si="9"/>
        <v>1480</v>
      </c>
      <c r="L272" s="18">
        <v>9417</v>
      </c>
      <c r="M272" s="18">
        <v>237</v>
      </c>
      <c r="N272" s="19" t="s">
        <v>27</v>
      </c>
      <c r="O272" s="20"/>
      <c r="P272" s="20"/>
      <c r="Q272" s="20"/>
      <c r="R272" s="20"/>
      <c r="S272" s="22"/>
      <c r="T272" s="20" t="str">
        <f>IF(AND(C272&gt;='Campaign Metadata'!B$2,Posts!C272&lt;='Campaign Metadata'!C$2),"During","Before/After")</f>
        <v>Before/After</v>
      </c>
      <c r="U272" s="20" t="str">
        <f>IF(AND(C272&gt;='Campaign Metadata'!B$3,Posts!C272&lt;='Campaign Metadata'!C$3),"During","Before/After")</f>
        <v>Before/After</v>
      </c>
      <c r="V272" s="20" t="str">
        <f>IF(AND(C272&gt;='Campaign Metadata'!B$4,Posts!C272&lt;='Campaign Metadata'!C$4),"During","Before/After")</f>
        <v>Before/After</v>
      </c>
      <c r="W272" s="50" t="str">
        <f>IF(AND(C272&gt;='Campaign Metadata'!B$5,Posts!C272&lt;='Campaign Metadata'!C$5),"During","Before/After")</f>
        <v>Before/After</v>
      </c>
    </row>
    <row r="273" spans="1:23" x14ac:dyDescent="0.25">
      <c r="A273" s="49" t="s">
        <v>459</v>
      </c>
      <c r="B273" s="92" t="s">
        <v>13</v>
      </c>
      <c r="C273" s="35" t="s">
        <v>74</v>
      </c>
      <c r="D273" s="17" t="s">
        <v>42</v>
      </c>
      <c r="E273" s="17" t="s">
        <v>46</v>
      </c>
      <c r="F273" s="18">
        <v>929</v>
      </c>
      <c r="G273" s="18">
        <v>192</v>
      </c>
      <c r="H273" s="18">
        <v>322</v>
      </c>
      <c r="I273" s="18">
        <v>16722</v>
      </c>
      <c r="J273" s="18">
        <f t="shared" si="8"/>
        <v>1121.0192560698481</v>
      </c>
      <c r="K273" s="18">
        <f t="shared" si="9"/>
        <v>1443</v>
      </c>
      <c r="L273" s="18">
        <v>15996</v>
      </c>
      <c r="M273" s="18">
        <v>145</v>
      </c>
      <c r="N273" s="19" t="s">
        <v>34</v>
      </c>
      <c r="O273" s="20" t="s">
        <v>27</v>
      </c>
      <c r="P273" s="20" t="s">
        <v>597</v>
      </c>
      <c r="Q273" s="20"/>
      <c r="R273" s="20"/>
      <c r="S273" s="22" t="s">
        <v>28</v>
      </c>
      <c r="T273" s="20" t="str">
        <f>IF(AND(C273&gt;='Campaign Metadata'!B$2,Posts!C273&lt;='Campaign Metadata'!C$2),"During","Before/After")</f>
        <v>Before/After</v>
      </c>
      <c r="U273" s="20" t="str">
        <f>IF(AND(C273&gt;='Campaign Metadata'!B$3,Posts!C273&lt;='Campaign Metadata'!C$3),"During","Before/After")</f>
        <v>Before/After</v>
      </c>
      <c r="V273" s="20" t="str">
        <f>IF(AND(C273&gt;='Campaign Metadata'!B$4,Posts!C273&lt;='Campaign Metadata'!C$4),"During","Before/After")</f>
        <v>Before/After</v>
      </c>
      <c r="W273" s="50" t="str">
        <f>IF(AND(C273&gt;='Campaign Metadata'!B$5,Posts!C273&lt;='Campaign Metadata'!C$5),"During","Before/After")</f>
        <v>Before/After</v>
      </c>
    </row>
    <row r="274" spans="1:23" x14ac:dyDescent="0.25">
      <c r="A274" s="49" t="s">
        <v>186</v>
      </c>
      <c r="B274" s="92" t="s">
        <v>40</v>
      </c>
      <c r="C274" s="35" t="s">
        <v>187</v>
      </c>
      <c r="D274" s="17" t="s">
        <v>71</v>
      </c>
      <c r="E274" s="17" t="s">
        <v>72</v>
      </c>
      <c r="F274" s="18">
        <v>199</v>
      </c>
      <c r="G274" s="18">
        <v>772</v>
      </c>
      <c r="H274" s="18">
        <v>400</v>
      </c>
      <c r="I274" s="18">
        <v>3582</v>
      </c>
      <c r="J274" s="18">
        <f t="shared" si="8"/>
        <v>971.11166945840307</v>
      </c>
      <c r="K274" s="18">
        <f t="shared" si="9"/>
        <v>1371</v>
      </c>
      <c r="L274" s="18">
        <v>2988</v>
      </c>
      <c r="M274" s="18">
        <v>43</v>
      </c>
      <c r="N274" s="19" t="s">
        <v>27</v>
      </c>
      <c r="O274" s="20"/>
      <c r="P274" s="20"/>
      <c r="Q274" s="20"/>
      <c r="R274" s="20"/>
      <c r="S274" s="22"/>
      <c r="T274" s="20" t="str">
        <f>IF(AND(C274&gt;='Campaign Metadata'!B$2,Posts!C274&lt;='Campaign Metadata'!C$2),"During","Before/After")</f>
        <v>Before/After</v>
      </c>
      <c r="U274" s="20" t="str">
        <f>IF(AND(C274&gt;='Campaign Metadata'!B$3,Posts!C274&lt;='Campaign Metadata'!C$3),"During","Before/After")</f>
        <v>Before/After</v>
      </c>
      <c r="V274" s="20" t="str">
        <f>IF(AND(C274&gt;='Campaign Metadata'!B$4,Posts!C274&lt;='Campaign Metadata'!C$4),"During","Before/After")</f>
        <v>Before/After</v>
      </c>
      <c r="W274" s="50" t="str">
        <f>IF(AND(C274&gt;='Campaign Metadata'!B$5,Posts!C274&lt;='Campaign Metadata'!C$5),"During","Before/After")</f>
        <v>Before/After</v>
      </c>
    </row>
    <row r="275" spans="1:23" x14ac:dyDescent="0.25">
      <c r="A275" s="49" t="s">
        <v>158</v>
      </c>
      <c r="B275" s="92" t="s">
        <v>40</v>
      </c>
      <c r="C275" s="35" t="s">
        <v>159</v>
      </c>
      <c r="D275" s="17" t="s">
        <v>49</v>
      </c>
      <c r="E275" s="17" t="s">
        <v>56</v>
      </c>
      <c r="F275" s="18">
        <v>1226</v>
      </c>
      <c r="G275" s="18">
        <v>119</v>
      </c>
      <c r="H275" s="18">
        <v>7</v>
      </c>
      <c r="I275" s="18">
        <v>14712</v>
      </c>
      <c r="J275" s="18">
        <f t="shared" si="8"/>
        <v>1345.0004758020664</v>
      </c>
      <c r="K275" s="18">
        <f t="shared" si="9"/>
        <v>1352</v>
      </c>
      <c r="L275" s="18">
        <v>14049</v>
      </c>
      <c r="M275" s="18">
        <v>123</v>
      </c>
      <c r="N275" s="19" t="s">
        <v>34</v>
      </c>
      <c r="O275" s="20"/>
      <c r="P275" s="20"/>
      <c r="Q275" s="20"/>
      <c r="R275" s="20"/>
      <c r="S275" s="22" t="s">
        <v>35</v>
      </c>
      <c r="T275" s="20" t="str">
        <f>IF(AND(C275&gt;='Campaign Metadata'!B$2,Posts!C275&lt;='Campaign Metadata'!C$2),"During","Before/After")</f>
        <v>During</v>
      </c>
      <c r="U275" s="20" t="str">
        <f>IF(AND(C275&gt;='Campaign Metadata'!B$3,Posts!C275&lt;='Campaign Metadata'!C$3),"During","Before/After")</f>
        <v>Before/After</v>
      </c>
      <c r="V275" s="20" t="str">
        <f>IF(AND(C275&gt;='Campaign Metadata'!B$4,Posts!C275&lt;='Campaign Metadata'!C$4),"During","Before/After")</f>
        <v>Before/After</v>
      </c>
      <c r="W275" s="50" t="str">
        <f>IF(AND(C275&gt;='Campaign Metadata'!B$5,Posts!C275&lt;='Campaign Metadata'!C$5),"During","Before/After")</f>
        <v>Before/After</v>
      </c>
    </row>
    <row r="276" spans="1:23" x14ac:dyDescent="0.25">
      <c r="A276" s="49" t="s">
        <v>436</v>
      </c>
      <c r="B276" s="92" t="s">
        <v>40</v>
      </c>
      <c r="C276" s="35" t="s">
        <v>437</v>
      </c>
      <c r="D276" s="17" t="s">
        <v>49</v>
      </c>
      <c r="E276" s="17" t="s">
        <v>56</v>
      </c>
      <c r="F276" s="18">
        <v>602</v>
      </c>
      <c r="G276" s="18">
        <v>594</v>
      </c>
      <c r="H276" s="18">
        <v>156</v>
      </c>
      <c r="I276" s="18">
        <v>4214</v>
      </c>
      <c r="J276" s="18">
        <f t="shared" si="8"/>
        <v>1196.0370194589464</v>
      </c>
      <c r="K276" s="18">
        <f t="shared" si="9"/>
        <v>1352</v>
      </c>
      <c r="L276" s="18">
        <v>3363</v>
      </c>
      <c r="M276" s="18">
        <v>164</v>
      </c>
      <c r="N276" s="19" t="s">
        <v>27</v>
      </c>
      <c r="O276" s="20"/>
      <c r="P276" s="20"/>
      <c r="Q276" s="20"/>
      <c r="R276" s="20"/>
      <c r="S276" s="22" t="s">
        <v>28</v>
      </c>
      <c r="T276" s="20" t="str">
        <f>IF(AND(C276&gt;='Campaign Metadata'!B$2,Posts!C276&lt;='Campaign Metadata'!C$2),"During","Before/After")</f>
        <v>Before/After</v>
      </c>
      <c r="U276" s="20" t="str">
        <f>IF(AND(C276&gt;='Campaign Metadata'!B$3,Posts!C276&lt;='Campaign Metadata'!C$3),"During","Before/After")</f>
        <v>Before/After</v>
      </c>
      <c r="V276" s="20" t="str">
        <f>IF(AND(C276&gt;='Campaign Metadata'!B$4,Posts!C276&lt;='Campaign Metadata'!C$4),"During","Before/After")</f>
        <v>Before/After</v>
      </c>
      <c r="W276" s="50" t="str">
        <f>IF(AND(C276&gt;='Campaign Metadata'!B$5,Posts!C276&lt;='Campaign Metadata'!C$5),"During","Before/After")</f>
        <v>Before/After</v>
      </c>
    </row>
    <row r="277" spans="1:23" x14ac:dyDescent="0.25">
      <c r="A277" s="49" t="s">
        <v>375</v>
      </c>
      <c r="B277" s="92" t="s">
        <v>30</v>
      </c>
      <c r="C277" s="35" t="s">
        <v>376</v>
      </c>
      <c r="D277" s="17" t="s">
        <v>32</v>
      </c>
      <c r="E277" s="17" t="s">
        <v>33</v>
      </c>
      <c r="F277" s="18">
        <v>360</v>
      </c>
      <c r="G277" s="18">
        <v>590</v>
      </c>
      <c r="H277" s="18">
        <v>393</v>
      </c>
      <c r="I277" s="18">
        <v>4680</v>
      </c>
      <c r="J277" s="18">
        <f t="shared" si="8"/>
        <v>950.08397435897439</v>
      </c>
      <c r="K277" s="18">
        <f t="shared" si="9"/>
        <v>1343</v>
      </c>
      <c r="L277" s="18">
        <v>4322</v>
      </c>
      <c r="M277" s="18">
        <v>208</v>
      </c>
      <c r="N277" s="19" t="s">
        <v>59</v>
      </c>
      <c r="O277" s="20"/>
      <c r="P277" s="20"/>
      <c r="Q277" s="20"/>
      <c r="R277" s="20"/>
      <c r="S277" s="22" t="s">
        <v>22</v>
      </c>
      <c r="T277" s="20" t="str">
        <f>IF(AND(C277&gt;='Campaign Metadata'!B$2,Posts!C277&lt;='Campaign Metadata'!C$2),"During","Before/After")</f>
        <v>Before/After</v>
      </c>
      <c r="U277" s="20" t="str">
        <f>IF(AND(C277&gt;='Campaign Metadata'!B$3,Posts!C277&lt;='Campaign Metadata'!C$3),"During","Before/After")</f>
        <v>Before/After</v>
      </c>
      <c r="V277" s="20" t="str">
        <f>IF(AND(C277&gt;='Campaign Metadata'!B$4,Posts!C277&lt;='Campaign Metadata'!C$4),"During","Before/After")</f>
        <v>Before/After</v>
      </c>
      <c r="W277" s="50" t="str">
        <f>IF(AND(C277&gt;='Campaign Metadata'!B$5,Posts!C277&lt;='Campaign Metadata'!C$5),"During","Before/After")</f>
        <v>Before/After</v>
      </c>
    </row>
    <row r="278" spans="1:23" x14ac:dyDescent="0.25">
      <c r="A278" s="49" t="s">
        <v>404</v>
      </c>
      <c r="B278" s="92" t="s">
        <v>13</v>
      </c>
      <c r="C278" s="35" t="s">
        <v>405</v>
      </c>
      <c r="D278" s="17" t="s">
        <v>15</v>
      </c>
      <c r="E278" s="17" t="s">
        <v>16</v>
      </c>
      <c r="F278" s="18">
        <v>802</v>
      </c>
      <c r="G278" s="18">
        <v>262</v>
      </c>
      <c r="H278" s="18">
        <v>244</v>
      </c>
      <c r="I278" s="18">
        <v>14436</v>
      </c>
      <c r="J278" s="18">
        <f t="shared" si="8"/>
        <v>1064.0169021889719</v>
      </c>
      <c r="K278" s="18">
        <f t="shared" si="9"/>
        <v>1308</v>
      </c>
      <c r="L278" s="18">
        <v>14280</v>
      </c>
      <c r="M278" s="18">
        <v>49</v>
      </c>
      <c r="N278" s="19" t="s">
        <v>34</v>
      </c>
      <c r="O278" s="20"/>
      <c r="P278" s="20"/>
      <c r="Q278" s="20"/>
      <c r="R278" s="20"/>
      <c r="S278" s="21" t="s">
        <v>17</v>
      </c>
      <c r="T278" s="20" t="str">
        <f>IF(AND(C278&gt;='Campaign Metadata'!B$2,Posts!C278&lt;='Campaign Metadata'!C$2),"During","Before/After")</f>
        <v>Before/After</v>
      </c>
      <c r="U278" s="20" t="str">
        <f>IF(AND(C278&gt;='Campaign Metadata'!B$3,Posts!C278&lt;='Campaign Metadata'!C$3),"During","Before/After")</f>
        <v>Before/After</v>
      </c>
      <c r="V278" s="20" t="str">
        <f>IF(AND(C278&gt;='Campaign Metadata'!B$4,Posts!C278&lt;='Campaign Metadata'!C$4),"During","Before/After")</f>
        <v>Before/After</v>
      </c>
      <c r="W278" s="50" t="str">
        <f>IF(AND(C278&gt;='Campaign Metadata'!B$5,Posts!C278&lt;='Campaign Metadata'!C$5),"During","Before/After")</f>
        <v>Before/After</v>
      </c>
    </row>
    <row r="279" spans="1:23" x14ac:dyDescent="0.25">
      <c r="A279" s="49" t="s">
        <v>474</v>
      </c>
      <c r="B279" s="92" t="s">
        <v>13</v>
      </c>
      <c r="C279" s="35" t="s">
        <v>420</v>
      </c>
      <c r="D279" s="17" t="s">
        <v>49</v>
      </c>
      <c r="E279" s="17" t="s">
        <v>128</v>
      </c>
      <c r="F279" s="18">
        <v>827</v>
      </c>
      <c r="G279" s="18">
        <v>77</v>
      </c>
      <c r="H279" s="18">
        <v>402</v>
      </c>
      <c r="I279" s="18">
        <v>14886</v>
      </c>
      <c r="J279" s="18">
        <f t="shared" si="8"/>
        <v>904.02700523982264</v>
      </c>
      <c r="K279" s="18">
        <f t="shared" si="9"/>
        <v>1306</v>
      </c>
      <c r="L279" s="18">
        <v>14129</v>
      </c>
      <c r="M279" s="18">
        <v>254</v>
      </c>
      <c r="N279" s="19" t="s">
        <v>34</v>
      </c>
      <c r="O279" s="20"/>
      <c r="P279" s="20"/>
      <c r="Q279" s="20"/>
      <c r="R279" s="20"/>
      <c r="S279" s="22" t="s">
        <v>22</v>
      </c>
      <c r="T279" s="20" t="str">
        <f>IF(AND(C279&gt;='Campaign Metadata'!B$2,Posts!C279&lt;='Campaign Metadata'!C$2),"During","Before/After")</f>
        <v>Before/After</v>
      </c>
      <c r="U279" s="20" t="str">
        <f>IF(AND(C279&gt;='Campaign Metadata'!B$3,Posts!C279&lt;='Campaign Metadata'!C$3),"During","Before/After")</f>
        <v>Before/After</v>
      </c>
      <c r="V279" s="20" t="str">
        <f>IF(AND(C279&gt;='Campaign Metadata'!B$4,Posts!C279&lt;='Campaign Metadata'!C$4),"During","Before/After")</f>
        <v>Before/After</v>
      </c>
      <c r="W279" s="50" t="str">
        <f>IF(AND(C279&gt;='Campaign Metadata'!B$5,Posts!C279&lt;='Campaign Metadata'!C$5),"During","Before/After")</f>
        <v>Before/After</v>
      </c>
    </row>
    <row r="280" spans="1:23" x14ac:dyDescent="0.25">
      <c r="A280" s="49" t="s">
        <v>198</v>
      </c>
      <c r="B280" s="92" t="s">
        <v>13</v>
      </c>
      <c r="C280" s="35" t="s">
        <v>199</v>
      </c>
      <c r="D280" s="17" t="s">
        <v>32</v>
      </c>
      <c r="E280" s="17" t="s">
        <v>145</v>
      </c>
      <c r="F280" s="18">
        <v>1121</v>
      </c>
      <c r="G280" s="18">
        <v>135</v>
      </c>
      <c r="H280" s="18">
        <v>18</v>
      </c>
      <c r="I280" s="18">
        <v>15694</v>
      </c>
      <c r="J280" s="18">
        <f t="shared" si="8"/>
        <v>1256.0011469351346</v>
      </c>
      <c r="K280" s="18">
        <f t="shared" si="9"/>
        <v>1274</v>
      </c>
      <c r="L280" s="18">
        <v>14957</v>
      </c>
      <c r="M280" s="18">
        <v>99</v>
      </c>
      <c r="N280" s="19" t="s">
        <v>27</v>
      </c>
      <c r="O280" s="20"/>
      <c r="P280" s="20"/>
      <c r="Q280" s="20"/>
      <c r="R280" s="20"/>
      <c r="S280" s="22" t="s">
        <v>35</v>
      </c>
      <c r="T280" s="20" t="str">
        <f>IF(AND(C280&gt;='Campaign Metadata'!B$2,Posts!C280&lt;='Campaign Metadata'!C$2),"During","Before/After")</f>
        <v>Before/After</v>
      </c>
      <c r="U280" s="20" t="str">
        <f>IF(AND(C280&gt;='Campaign Metadata'!B$3,Posts!C280&lt;='Campaign Metadata'!C$3),"During","Before/After")</f>
        <v>Before/After</v>
      </c>
      <c r="V280" s="20" t="str">
        <f>IF(AND(C280&gt;='Campaign Metadata'!B$4,Posts!C280&lt;='Campaign Metadata'!C$4),"During","Before/After")</f>
        <v>Before/After</v>
      </c>
      <c r="W280" s="50" t="str">
        <f>IF(AND(C280&gt;='Campaign Metadata'!B$5,Posts!C280&lt;='Campaign Metadata'!C$5),"During","Before/After")</f>
        <v>Before/After</v>
      </c>
    </row>
    <row r="281" spans="1:23" x14ac:dyDescent="0.25">
      <c r="A281" s="49" t="s">
        <v>207</v>
      </c>
      <c r="B281" s="92" t="s">
        <v>30</v>
      </c>
      <c r="C281" s="35" t="s">
        <v>208</v>
      </c>
      <c r="D281" s="17" t="s">
        <v>49</v>
      </c>
      <c r="E281" s="17" t="s">
        <v>209</v>
      </c>
      <c r="F281" s="18">
        <v>725</v>
      </c>
      <c r="G281" s="18">
        <v>88</v>
      </c>
      <c r="H281" s="18">
        <v>428</v>
      </c>
      <c r="I281" s="18">
        <v>14500</v>
      </c>
      <c r="J281" s="18">
        <f t="shared" si="8"/>
        <v>813.02951724137927</v>
      </c>
      <c r="K281" s="18">
        <f t="shared" si="9"/>
        <v>1241</v>
      </c>
      <c r="L281" s="18">
        <v>13637</v>
      </c>
      <c r="M281" s="18">
        <v>200</v>
      </c>
      <c r="N281" s="19" t="s">
        <v>59</v>
      </c>
      <c r="O281" s="20" t="s">
        <v>27</v>
      </c>
      <c r="P281" s="20" t="s">
        <v>597</v>
      </c>
      <c r="Q281" s="20"/>
      <c r="R281" s="20"/>
      <c r="S281" s="22" t="s">
        <v>28</v>
      </c>
      <c r="T281" s="20" t="str">
        <f>IF(AND(C281&gt;='Campaign Metadata'!B$2,Posts!C281&lt;='Campaign Metadata'!C$2),"During","Before/After")</f>
        <v>Before/After</v>
      </c>
      <c r="U281" s="20" t="str">
        <f>IF(AND(C281&gt;='Campaign Metadata'!B$3,Posts!C281&lt;='Campaign Metadata'!C$3),"During","Before/After")</f>
        <v>Before/After</v>
      </c>
      <c r="V281" s="20" t="str">
        <f>IF(AND(C281&gt;='Campaign Metadata'!B$4,Posts!C281&lt;='Campaign Metadata'!C$4),"During","Before/After")</f>
        <v>Before/After</v>
      </c>
      <c r="W281" s="50" t="str">
        <f>IF(AND(C281&gt;='Campaign Metadata'!B$5,Posts!C281&lt;='Campaign Metadata'!C$5),"During","Before/After")</f>
        <v>Before/After</v>
      </c>
    </row>
    <row r="282" spans="1:23" x14ac:dyDescent="0.25">
      <c r="A282" s="49" t="s">
        <v>326</v>
      </c>
      <c r="B282" s="92" t="s">
        <v>13</v>
      </c>
      <c r="C282" s="35" t="s">
        <v>327</v>
      </c>
      <c r="D282" s="17" t="s">
        <v>71</v>
      </c>
      <c r="E282" s="17" t="s">
        <v>141</v>
      </c>
      <c r="F282" s="18">
        <v>754</v>
      </c>
      <c r="G282" s="18">
        <v>197</v>
      </c>
      <c r="H282" s="18">
        <v>257</v>
      </c>
      <c r="I282" s="18">
        <v>6786</v>
      </c>
      <c r="J282" s="18">
        <f t="shared" si="8"/>
        <v>951.03787208959625</v>
      </c>
      <c r="K282" s="18">
        <f t="shared" si="9"/>
        <v>1208</v>
      </c>
      <c r="L282" s="18">
        <v>6221</v>
      </c>
      <c r="M282" s="18">
        <v>212</v>
      </c>
      <c r="N282" s="19" t="s">
        <v>27</v>
      </c>
      <c r="O282" s="20"/>
      <c r="P282" s="20"/>
      <c r="Q282" s="20"/>
      <c r="R282" s="20"/>
      <c r="S282" s="22" t="s">
        <v>28</v>
      </c>
      <c r="T282" s="20" t="str">
        <f>IF(AND(C282&gt;='Campaign Metadata'!B$2,Posts!C282&lt;='Campaign Metadata'!C$2),"During","Before/After")</f>
        <v>Before/After</v>
      </c>
      <c r="U282" s="20" t="str">
        <f>IF(AND(C282&gt;='Campaign Metadata'!B$3,Posts!C282&lt;='Campaign Metadata'!C$3),"During","Before/After")</f>
        <v>Before/After</v>
      </c>
      <c r="V282" s="20" t="str">
        <f>IF(AND(C282&gt;='Campaign Metadata'!B$4,Posts!C282&lt;='Campaign Metadata'!C$4),"During","Before/After")</f>
        <v>Before/After</v>
      </c>
      <c r="W282" s="50" t="str">
        <f>IF(AND(C282&gt;='Campaign Metadata'!B$5,Posts!C282&lt;='Campaign Metadata'!C$5),"During","Before/After")</f>
        <v>During</v>
      </c>
    </row>
    <row r="283" spans="1:23" x14ac:dyDescent="0.25">
      <c r="A283" s="49" t="s">
        <v>101</v>
      </c>
      <c r="B283" s="92" t="s">
        <v>30</v>
      </c>
      <c r="C283" s="35" t="s">
        <v>102</v>
      </c>
      <c r="D283" s="17" t="s">
        <v>71</v>
      </c>
      <c r="E283" s="17" t="s">
        <v>82</v>
      </c>
      <c r="F283" s="18">
        <v>432</v>
      </c>
      <c r="G283" s="18">
        <v>624</v>
      </c>
      <c r="H283" s="18">
        <v>123</v>
      </c>
      <c r="I283" s="18">
        <v>6912</v>
      </c>
      <c r="J283" s="18">
        <f t="shared" si="8"/>
        <v>1056.0177951388889</v>
      </c>
      <c r="K283" s="18">
        <f t="shared" si="9"/>
        <v>1179</v>
      </c>
      <c r="L283" s="18">
        <v>6259</v>
      </c>
      <c r="M283" s="18">
        <v>79</v>
      </c>
      <c r="N283" s="19" t="s">
        <v>59</v>
      </c>
      <c r="O283" s="20"/>
      <c r="P283" s="20"/>
      <c r="Q283" s="20"/>
      <c r="R283" s="20"/>
      <c r="S283" s="22" t="s">
        <v>35</v>
      </c>
      <c r="T283" s="20" t="str">
        <f>IF(AND(C283&gt;='Campaign Metadata'!B$2,Posts!C283&lt;='Campaign Metadata'!C$2),"During","Before/After")</f>
        <v>Before/After</v>
      </c>
      <c r="U283" s="20" t="str">
        <f>IF(AND(C283&gt;='Campaign Metadata'!B$3,Posts!C283&lt;='Campaign Metadata'!C$3),"During","Before/After")</f>
        <v>During</v>
      </c>
      <c r="V283" s="20" t="str">
        <f>IF(AND(C283&gt;='Campaign Metadata'!B$4,Posts!C283&lt;='Campaign Metadata'!C$4),"During","Before/After")</f>
        <v>Before/After</v>
      </c>
      <c r="W283" s="50" t="str">
        <f>IF(AND(C283&gt;='Campaign Metadata'!B$5,Posts!C283&lt;='Campaign Metadata'!C$5),"During","Before/After")</f>
        <v>Before/After</v>
      </c>
    </row>
    <row r="284" spans="1:23" x14ac:dyDescent="0.25">
      <c r="A284" s="49" t="s">
        <v>473</v>
      </c>
      <c r="B284" s="92" t="s">
        <v>40</v>
      </c>
      <c r="C284" s="35" t="s">
        <v>58</v>
      </c>
      <c r="D284" s="17" t="s">
        <v>32</v>
      </c>
      <c r="E284" s="17" t="s">
        <v>68</v>
      </c>
      <c r="F284" s="18">
        <v>886</v>
      </c>
      <c r="G284" s="18">
        <v>126</v>
      </c>
      <c r="H284" s="18">
        <v>153</v>
      </c>
      <c r="I284" s="18">
        <v>4430</v>
      </c>
      <c r="J284" s="18">
        <f t="shared" si="8"/>
        <v>1012.0345372460497</v>
      </c>
      <c r="K284" s="18">
        <f t="shared" si="9"/>
        <v>1165</v>
      </c>
      <c r="L284" s="18">
        <v>4037</v>
      </c>
      <c r="M284" s="18">
        <v>212</v>
      </c>
      <c r="N284" s="19" t="s">
        <v>34</v>
      </c>
      <c r="O284" s="20"/>
      <c r="P284" s="20"/>
      <c r="Q284" s="20"/>
      <c r="R284" s="20"/>
      <c r="S284" s="22"/>
      <c r="T284" s="20" t="str">
        <f>IF(AND(C284&gt;='Campaign Metadata'!B$2,Posts!C284&lt;='Campaign Metadata'!C$2),"During","Before/After")</f>
        <v>Before/After</v>
      </c>
      <c r="U284" s="20" t="str">
        <f>IF(AND(C284&gt;='Campaign Metadata'!B$3,Posts!C284&lt;='Campaign Metadata'!C$3),"During","Before/After")</f>
        <v>Before/After</v>
      </c>
      <c r="V284" s="20" t="str">
        <f>IF(AND(C284&gt;='Campaign Metadata'!B$4,Posts!C284&lt;='Campaign Metadata'!C$4),"During","Before/After")</f>
        <v>Before/After</v>
      </c>
      <c r="W284" s="50" t="str">
        <f>IF(AND(C284&gt;='Campaign Metadata'!B$5,Posts!C284&lt;='Campaign Metadata'!C$5),"During","Before/After")</f>
        <v>Before/After</v>
      </c>
    </row>
    <row r="285" spans="1:23" x14ac:dyDescent="0.25">
      <c r="A285" s="49" t="s">
        <v>527</v>
      </c>
      <c r="B285" s="92" t="s">
        <v>13</v>
      </c>
      <c r="C285" s="35" t="s">
        <v>99</v>
      </c>
      <c r="D285" s="17" t="s">
        <v>20</v>
      </c>
      <c r="E285" s="17" t="s">
        <v>21</v>
      </c>
      <c r="F285" s="18">
        <v>571</v>
      </c>
      <c r="G285" s="18">
        <v>190</v>
      </c>
      <c r="H285" s="18">
        <v>352</v>
      </c>
      <c r="I285" s="18">
        <v>9707</v>
      </c>
      <c r="J285" s="18">
        <f t="shared" si="8"/>
        <v>761.03626249098591</v>
      </c>
      <c r="K285" s="18">
        <f t="shared" si="9"/>
        <v>1113</v>
      </c>
      <c r="L285" s="18">
        <v>9418</v>
      </c>
      <c r="M285" s="18">
        <v>231</v>
      </c>
      <c r="N285" s="19" t="s">
        <v>27</v>
      </c>
      <c r="O285" s="20"/>
      <c r="P285" s="20"/>
      <c r="Q285" s="20"/>
      <c r="R285" s="20"/>
      <c r="S285" s="22" t="s">
        <v>35</v>
      </c>
      <c r="T285" s="20" t="str">
        <f>IF(AND(C285&gt;='Campaign Metadata'!B$2,Posts!C285&lt;='Campaign Metadata'!C$2),"During","Before/After")</f>
        <v>Before/After</v>
      </c>
      <c r="U285" s="20" t="str">
        <f>IF(AND(C285&gt;='Campaign Metadata'!B$3,Posts!C285&lt;='Campaign Metadata'!C$3),"During","Before/After")</f>
        <v>Before/After</v>
      </c>
      <c r="V285" s="20" t="str">
        <f>IF(AND(C285&gt;='Campaign Metadata'!B$4,Posts!C285&lt;='Campaign Metadata'!C$4),"During","Before/After")</f>
        <v>Before/After</v>
      </c>
      <c r="W285" s="50" t="str">
        <f>IF(AND(C285&gt;='Campaign Metadata'!B$5,Posts!C285&lt;='Campaign Metadata'!C$5),"During","Before/After")</f>
        <v>Before/After</v>
      </c>
    </row>
    <row r="286" spans="1:23" x14ac:dyDescent="0.25">
      <c r="A286" s="49" t="s">
        <v>363</v>
      </c>
      <c r="B286" s="92" t="s">
        <v>30</v>
      </c>
      <c r="C286" s="35" t="s">
        <v>364</v>
      </c>
      <c r="D286" s="17" t="s">
        <v>15</v>
      </c>
      <c r="E286" s="17" t="s">
        <v>79</v>
      </c>
      <c r="F286" s="18">
        <v>142</v>
      </c>
      <c r="G286" s="18">
        <v>784</v>
      </c>
      <c r="H286" s="18">
        <v>183</v>
      </c>
      <c r="I286" s="18">
        <v>1704</v>
      </c>
      <c r="J286" s="18">
        <f t="shared" si="8"/>
        <v>926.10739436619713</v>
      </c>
      <c r="K286" s="18">
        <f t="shared" si="9"/>
        <v>1109</v>
      </c>
      <c r="L286" s="18">
        <v>995</v>
      </c>
      <c r="M286" s="18">
        <v>154</v>
      </c>
      <c r="N286" s="19" t="s">
        <v>59</v>
      </c>
      <c r="O286" s="20"/>
      <c r="P286" s="20"/>
      <c r="Q286" s="20"/>
      <c r="R286" s="20"/>
      <c r="S286" s="22" t="s">
        <v>35</v>
      </c>
      <c r="T286" s="20" t="str">
        <f>IF(AND(C286&gt;='Campaign Metadata'!B$2,Posts!C286&lt;='Campaign Metadata'!C$2),"During","Before/After")</f>
        <v>Before/After</v>
      </c>
      <c r="U286" s="20" t="str">
        <f>IF(AND(C286&gt;='Campaign Metadata'!B$3,Posts!C286&lt;='Campaign Metadata'!C$3),"During","Before/After")</f>
        <v>Before/After</v>
      </c>
      <c r="V286" s="20" t="str">
        <f>IF(AND(C286&gt;='Campaign Metadata'!B$4,Posts!C286&lt;='Campaign Metadata'!C$4),"During","Before/After")</f>
        <v>Before/After</v>
      </c>
      <c r="W286" s="50" t="str">
        <f>IF(AND(C286&gt;='Campaign Metadata'!B$5,Posts!C286&lt;='Campaign Metadata'!C$5),"During","Before/After")</f>
        <v>Before/After</v>
      </c>
    </row>
    <row r="287" spans="1:23" x14ac:dyDescent="0.25">
      <c r="A287" s="49" t="s">
        <v>448</v>
      </c>
      <c r="B287" s="92" t="s">
        <v>13</v>
      </c>
      <c r="C287" s="35" t="s">
        <v>449</v>
      </c>
      <c r="D287" s="17" t="s">
        <v>32</v>
      </c>
      <c r="E287" s="17" t="s">
        <v>145</v>
      </c>
      <c r="F287" s="18">
        <v>249</v>
      </c>
      <c r="G287" s="18">
        <v>592</v>
      </c>
      <c r="H287" s="18">
        <v>230</v>
      </c>
      <c r="I287" s="18">
        <v>1494</v>
      </c>
      <c r="J287" s="18">
        <f t="shared" si="8"/>
        <v>841.15394912985278</v>
      </c>
      <c r="K287" s="18">
        <f t="shared" si="9"/>
        <v>1071</v>
      </c>
      <c r="L287" s="18">
        <v>1044</v>
      </c>
      <c r="M287" s="18">
        <v>201</v>
      </c>
      <c r="N287" s="19" t="s">
        <v>34</v>
      </c>
      <c r="O287" s="20"/>
      <c r="P287" s="20"/>
      <c r="Q287" s="20"/>
      <c r="R287" s="20"/>
      <c r="S287" s="22" t="s">
        <v>35</v>
      </c>
      <c r="T287" s="20" t="str">
        <f>IF(AND(C287&gt;='Campaign Metadata'!B$2,Posts!C287&lt;='Campaign Metadata'!C$2),"During","Before/After")</f>
        <v>Before/After</v>
      </c>
      <c r="U287" s="20" t="str">
        <f>IF(AND(C287&gt;='Campaign Metadata'!B$3,Posts!C287&lt;='Campaign Metadata'!C$3),"During","Before/After")</f>
        <v>Before/After</v>
      </c>
      <c r="V287" s="20" t="str">
        <f>IF(AND(C287&gt;='Campaign Metadata'!B$4,Posts!C287&lt;='Campaign Metadata'!C$4),"During","Before/After")</f>
        <v>Before/After</v>
      </c>
      <c r="W287" s="50" t="str">
        <f>IF(AND(C287&gt;='Campaign Metadata'!B$5,Posts!C287&lt;='Campaign Metadata'!C$5),"During","Before/After")</f>
        <v>Before/After</v>
      </c>
    </row>
    <row r="288" spans="1:23" x14ac:dyDescent="0.25">
      <c r="A288" s="49" t="s">
        <v>431</v>
      </c>
      <c r="B288" s="92" t="s">
        <v>30</v>
      </c>
      <c r="C288" s="35" t="s">
        <v>407</v>
      </c>
      <c r="D288" s="17" t="s">
        <v>32</v>
      </c>
      <c r="E288" s="17" t="s">
        <v>33</v>
      </c>
      <c r="F288" s="18">
        <v>84</v>
      </c>
      <c r="G288" s="18">
        <v>897</v>
      </c>
      <c r="H288" s="18">
        <v>85</v>
      </c>
      <c r="I288" s="18">
        <v>588</v>
      </c>
      <c r="J288" s="18">
        <f t="shared" si="8"/>
        <v>981.14455782312928</v>
      </c>
      <c r="K288" s="18">
        <f t="shared" si="9"/>
        <v>1066</v>
      </c>
      <c r="L288" s="18">
        <v>8</v>
      </c>
      <c r="M288" s="18">
        <v>12</v>
      </c>
      <c r="N288" s="19" t="s">
        <v>34</v>
      </c>
      <c r="O288" s="20"/>
      <c r="P288" s="20"/>
      <c r="Q288" s="20"/>
      <c r="R288" s="20"/>
      <c r="S288" s="22"/>
      <c r="T288" s="20" t="str">
        <f>IF(AND(C288&gt;='Campaign Metadata'!B$2,Posts!C288&lt;='Campaign Metadata'!C$2),"During","Before/After")</f>
        <v>Before/After</v>
      </c>
      <c r="U288" s="20" t="str">
        <f>IF(AND(C288&gt;='Campaign Metadata'!B$3,Posts!C288&lt;='Campaign Metadata'!C$3),"During","Before/After")</f>
        <v>Before/After</v>
      </c>
      <c r="V288" s="20" t="str">
        <f>IF(AND(C288&gt;='Campaign Metadata'!B$4,Posts!C288&lt;='Campaign Metadata'!C$4),"During","Before/After")</f>
        <v>Before/After</v>
      </c>
      <c r="W288" s="50" t="str">
        <f>IF(AND(C288&gt;='Campaign Metadata'!B$5,Posts!C288&lt;='Campaign Metadata'!C$5),"During","Before/After")</f>
        <v>Before/After</v>
      </c>
    </row>
    <row r="289" spans="1:23" x14ac:dyDescent="0.25">
      <c r="A289" s="49" t="s">
        <v>369</v>
      </c>
      <c r="B289" s="92" t="s">
        <v>30</v>
      </c>
      <c r="C289" s="35" t="s">
        <v>199</v>
      </c>
      <c r="D289" s="17" t="s">
        <v>71</v>
      </c>
      <c r="E289" s="17" t="s">
        <v>82</v>
      </c>
      <c r="F289" s="18">
        <v>129</v>
      </c>
      <c r="G289" s="18">
        <v>643</v>
      </c>
      <c r="H289" s="18">
        <v>136</v>
      </c>
      <c r="I289" s="18">
        <v>1290</v>
      </c>
      <c r="J289" s="18">
        <f t="shared" si="8"/>
        <v>772.10542635658919</v>
      </c>
      <c r="K289" s="18">
        <f t="shared" si="9"/>
        <v>908</v>
      </c>
      <c r="L289" s="18">
        <v>839</v>
      </c>
      <c r="M289" s="18">
        <v>238</v>
      </c>
      <c r="N289" s="19" t="s">
        <v>27</v>
      </c>
      <c r="O289" s="20"/>
      <c r="P289" s="20"/>
      <c r="Q289" s="20"/>
      <c r="R289" s="20"/>
      <c r="S289" s="22" t="s">
        <v>35</v>
      </c>
      <c r="T289" s="20" t="str">
        <f>IF(AND(C289&gt;='Campaign Metadata'!B$2,Posts!C289&lt;='Campaign Metadata'!C$2),"During","Before/After")</f>
        <v>Before/After</v>
      </c>
      <c r="U289" s="20" t="str">
        <f>IF(AND(C289&gt;='Campaign Metadata'!B$3,Posts!C289&lt;='Campaign Metadata'!C$3),"During","Before/After")</f>
        <v>Before/After</v>
      </c>
      <c r="V289" s="20" t="str">
        <f>IF(AND(C289&gt;='Campaign Metadata'!B$4,Posts!C289&lt;='Campaign Metadata'!C$4),"During","Before/After")</f>
        <v>Before/After</v>
      </c>
      <c r="W289" s="50" t="str">
        <f>IF(AND(C289&gt;='Campaign Metadata'!B$5,Posts!C289&lt;='Campaign Metadata'!C$5),"During","Before/After")</f>
        <v>Before/After</v>
      </c>
    </row>
    <row r="290" spans="1:23" x14ac:dyDescent="0.25">
      <c r="A290" s="49" t="s">
        <v>164</v>
      </c>
      <c r="B290" s="92" t="s">
        <v>30</v>
      </c>
      <c r="C290" s="35" t="s">
        <v>165</v>
      </c>
      <c r="D290" s="17" t="s">
        <v>15</v>
      </c>
      <c r="E290" s="17" t="s">
        <v>79</v>
      </c>
      <c r="F290" s="18">
        <v>103</v>
      </c>
      <c r="G290" s="18">
        <v>770</v>
      </c>
      <c r="H290" s="18">
        <v>19</v>
      </c>
      <c r="I290" s="18">
        <v>1030</v>
      </c>
      <c r="J290" s="18">
        <f t="shared" si="8"/>
        <v>873.01844660194172</v>
      </c>
      <c r="K290" s="18">
        <f t="shared" si="9"/>
        <v>892</v>
      </c>
      <c r="L290" s="18">
        <v>410</v>
      </c>
      <c r="M290" s="18">
        <v>262</v>
      </c>
      <c r="N290" s="19" t="s">
        <v>27</v>
      </c>
      <c r="O290" s="20"/>
      <c r="P290" s="20"/>
      <c r="Q290" s="20"/>
      <c r="R290" s="20"/>
      <c r="S290" s="22" t="s">
        <v>35</v>
      </c>
      <c r="T290" s="20" t="str">
        <f>IF(AND(C290&gt;='Campaign Metadata'!B$2,Posts!C290&lt;='Campaign Metadata'!C$2),"During","Before/After")</f>
        <v>Before/After</v>
      </c>
      <c r="U290" s="20" t="str">
        <f>IF(AND(C290&gt;='Campaign Metadata'!B$3,Posts!C290&lt;='Campaign Metadata'!C$3),"During","Before/After")</f>
        <v>Before/After</v>
      </c>
      <c r="V290" s="20" t="str">
        <f>IF(AND(C290&gt;='Campaign Metadata'!B$4,Posts!C290&lt;='Campaign Metadata'!C$4),"During","Before/After")</f>
        <v>Before/After</v>
      </c>
      <c r="W290" s="50" t="str">
        <f>IF(AND(C290&gt;='Campaign Metadata'!B$5,Posts!C290&lt;='Campaign Metadata'!C$5),"During","Before/After")</f>
        <v>Before/After</v>
      </c>
    </row>
    <row r="291" spans="1:23" x14ac:dyDescent="0.25">
      <c r="A291" s="49" t="s">
        <v>179</v>
      </c>
      <c r="B291" s="92" t="s">
        <v>13</v>
      </c>
      <c r="C291" s="35" t="s">
        <v>180</v>
      </c>
      <c r="D291" s="17" t="s">
        <v>42</v>
      </c>
      <c r="E291" s="17" t="s">
        <v>46</v>
      </c>
      <c r="F291" s="18">
        <v>432</v>
      </c>
      <c r="G291" s="18">
        <v>171</v>
      </c>
      <c r="H291" s="18">
        <v>280</v>
      </c>
      <c r="I291" s="18">
        <v>3024</v>
      </c>
      <c r="J291" s="18">
        <f t="shared" si="8"/>
        <v>603.09259259259261</v>
      </c>
      <c r="K291" s="18">
        <f t="shared" si="9"/>
        <v>883</v>
      </c>
      <c r="L291" s="18">
        <v>2285</v>
      </c>
      <c r="M291" s="18">
        <v>184</v>
      </c>
      <c r="N291" s="19" t="s">
        <v>34</v>
      </c>
      <c r="O291" s="20"/>
      <c r="P291" s="20"/>
      <c r="Q291" s="20"/>
      <c r="R291" s="20"/>
      <c r="S291" s="21" t="s">
        <v>17</v>
      </c>
      <c r="T291" s="20" t="str">
        <f>IF(AND(C291&gt;='Campaign Metadata'!B$2,Posts!C291&lt;='Campaign Metadata'!C$2),"During","Before/After")</f>
        <v>Before/After</v>
      </c>
      <c r="U291" s="20" t="str">
        <f>IF(AND(C291&gt;='Campaign Metadata'!B$3,Posts!C291&lt;='Campaign Metadata'!C$3),"During","Before/After")</f>
        <v>Before/After</v>
      </c>
      <c r="V291" s="20" t="str">
        <f>IF(AND(C291&gt;='Campaign Metadata'!B$4,Posts!C291&lt;='Campaign Metadata'!C$4),"During","Before/After")</f>
        <v>Before/After</v>
      </c>
      <c r="W291" s="50" t="str">
        <f>IF(AND(C291&gt;='Campaign Metadata'!B$5,Posts!C291&lt;='Campaign Metadata'!C$5),"During","Before/After")</f>
        <v>Before/After</v>
      </c>
    </row>
    <row r="292" spans="1:23" x14ac:dyDescent="0.25">
      <c r="A292" s="49" t="s">
        <v>488</v>
      </c>
      <c r="B292" s="92" t="s">
        <v>40</v>
      </c>
      <c r="C292" s="35" t="s">
        <v>242</v>
      </c>
      <c r="D292" s="17" t="s">
        <v>20</v>
      </c>
      <c r="E292" s="17" t="s">
        <v>53</v>
      </c>
      <c r="F292" s="18">
        <v>562</v>
      </c>
      <c r="G292" s="18">
        <v>158</v>
      </c>
      <c r="H292" s="18">
        <v>149</v>
      </c>
      <c r="I292" s="18">
        <v>3372</v>
      </c>
      <c r="J292" s="18">
        <f t="shared" si="8"/>
        <v>720.04418742586006</v>
      </c>
      <c r="K292" s="18">
        <f t="shared" si="9"/>
        <v>869</v>
      </c>
      <c r="L292" s="18">
        <v>2940</v>
      </c>
      <c r="M292" s="18">
        <v>93</v>
      </c>
      <c r="N292" s="19" t="s">
        <v>27</v>
      </c>
      <c r="O292" s="20"/>
      <c r="P292" s="20"/>
      <c r="Q292" s="20"/>
      <c r="R292" s="20"/>
      <c r="S292" s="21" t="s">
        <v>17</v>
      </c>
      <c r="T292" s="20" t="str">
        <f>IF(AND(C292&gt;='Campaign Metadata'!B$2,Posts!C292&lt;='Campaign Metadata'!C$2),"During","Before/After")</f>
        <v>Before/After</v>
      </c>
      <c r="U292" s="20" t="str">
        <f>IF(AND(C292&gt;='Campaign Metadata'!B$3,Posts!C292&lt;='Campaign Metadata'!C$3),"During","Before/After")</f>
        <v>Before/After</v>
      </c>
      <c r="V292" s="20" t="str">
        <f>IF(AND(C292&gt;='Campaign Metadata'!B$4,Posts!C292&lt;='Campaign Metadata'!C$4),"During","Before/After")</f>
        <v>Before/After</v>
      </c>
      <c r="W292" s="50" t="str">
        <f>IF(AND(C292&gt;='Campaign Metadata'!B$5,Posts!C292&lt;='Campaign Metadata'!C$5),"During","Before/After")</f>
        <v>Before/After</v>
      </c>
    </row>
    <row r="293" spans="1:23" x14ac:dyDescent="0.25">
      <c r="A293" s="49" t="s">
        <v>107</v>
      </c>
      <c r="B293" s="92" t="s">
        <v>30</v>
      </c>
      <c r="C293" s="35" t="s">
        <v>108</v>
      </c>
      <c r="D293" s="17" t="s">
        <v>20</v>
      </c>
      <c r="E293" s="17" t="s">
        <v>109</v>
      </c>
      <c r="F293" s="18">
        <v>438</v>
      </c>
      <c r="G293" s="18">
        <v>153</v>
      </c>
      <c r="H293" s="18">
        <v>275</v>
      </c>
      <c r="I293" s="18">
        <v>3066</v>
      </c>
      <c r="J293" s="18">
        <f t="shared" si="8"/>
        <v>591.08969341161117</v>
      </c>
      <c r="K293" s="18">
        <f t="shared" si="9"/>
        <v>866</v>
      </c>
      <c r="L293" s="18">
        <v>2701</v>
      </c>
      <c r="M293" s="18">
        <v>282</v>
      </c>
      <c r="N293" s="19" t="s">
        <v>27</v>
      </c>
      <c r="O293" s="20"/>
      <c r="P293" s="20"/>
      <c r="Q293" s="20"/>
      <c r="R293" s="20"/>
      <c r="S293" s="22" t="s">
        <v>22</v>
      </c>
      <c r="T293" s="20" t="str">
        <f>IF(AND(C293&gt;='Campaign Metadata'!B$2,Posts!C293&lt;='Campaign Metadata'!C$2),"During","Before/After")</f>
        <v>Before/After</v>
      </c>
      <c r="U293" s="20" t="str">
        <f>IF(AND(C293&gt;='Campaign Metadata'!B$3,Posts!C293&lt;='Campaign Metadata'!C$3),"During","Before/After")</f>
        <v>Before/After</v>
      </c>
      <c r="V293" s="20" t="str">
        <f>IF(AND(C293&gt;='Campaign Metadata'!B$4,Posts!C293&lt;='Campaign Metadata'!C$4),"During","Before/After")</f>
        <v>Before/After</v>
      </c>
      <c r="W293" s="50" t="str">
        <f>IF(AND(C293&gt;='Campaign Metadata'!B$5,Posts!C293&lt;='Campaign Metadata'!C$5),"During","Before/After")</f>
        <v>Before/After</v>
      </c>
    </row>
    <row r="294" spans="1:23" x14ac:dyDescent="0.25">
      <c r="A294" s="49" t="s">
        <v>220</v>
      </c>
      <c r="B294" s="92" t="s">
        <v>40</v>
      </c>
      <c r="C294" s="35" t="s">
        <v>221</v>
      </c>
      <c r="D294" s="17" t="s">
        <v>32</v>
      </c>
      <c r="E294" s="17" t="s">
        <v>68</v>
      </c>
      <c r="F294" s="18">
        <v>302</v>
      </c>
      <c r="G294" s="18">
        <v>47</v>
      </c>
      <c r="H294" s="18">
        <v>430</v>
      </c>
      <c r="I294" s="18">
        <v>5738</v>
      </c>
      <c r="J294" s="18">
        <f t="shared" si="8"/>
        <v>349.07493900313699</v>
      </c>
      <c r="K294" s="18">
        <f t="shared" si="9"/>
        <v>779</v>
      </c>
      <c r="L294" s="18">
        <v>4890</v>
      </c>
      <c r="M294" s="18">
        <v>25</v>
      </c>
      <c r="N294" s="19" t="s">
        <v>27</v>
      </c>
      <c r="O294" s="20"/>
      <c r="P294" s="20"/>
      <c r="Q294" s="20"/>
      <c r="R294" s="20"/>
      <c r="S294" s="22" t="s">
        <v>35</v>
      </c>
      <c r="T294" s="20" t="str">
        <f>IF(AND(C294&gt;='Campaign Metadata'!B$2,Posts!C294&lt;='Campaign Metadata'!C$2),"During","Before/After")</f>
        <v>During</v>
      </c>
      <c r="U294" s="20" t="str">
        <f>IF(AND(C294&gt;='Campaign Metadata'!B$3,Posts!C294&lt;='Campaign Metadata'!C$3),"During","Before/After")</f>
        <v>Before/After</v>
      </c>
      <c r="V294" s="20" t="str">
        <f>IF(AND(C294&gt;='Campaign Metadata'!B$4,Posts!C294&lt;='Campaign Metadata'!C$4),"During","Before/After")</f>
        <v>Before/After</v>
      </c>
      <c r="W294" s="50" t="str">
        <f>IF(AND(C294&gt;='Campaign Metadata'!B$5,Posts!C294&lt;='Campaign Metadata'!C$5),"During","Before/After")</f>
        <v>Before/After</v>
      </c>
    </row>
    <row r="295" spans="1:23" x14ac:dyDescent="0.25">
      <c r="A295" s="49" t="s">
        <v>304</v>
      </c>
      <c r="B295" s="92" t="s">
        <v>13</v>
      </c>
      <c r="C295" s="35" t="s">
        <v>182</v>
      </c>
      <c r="D295" s="17" t="s">
        <v>49</v>
      </c>
      <c r="E295" s="17" t="s">
        <v>128</v>
      </c>
      <c r="F295" s="18">
        <v>305</v>
      </c>
      <c r="G295" s="18">
        <v>187</v>
      </c>
      <c r="H295" s="18">
        <v>243</v>
      </c>
      <c r="I295" s="18">
        <v>4575</v>
      </c>
      <c r="J295" s="18">
        <f t="shared" si="8"/>
        <v>492.05311475409837</v>
      </c>
      <c r="K295" s="18">
        <f t="shared" si="9"/>
        <v>735</v>
      </c>
      <c r="L295" s="18">
        <v>3704</v>
      </c>
      <c r="M295" s="18">
        <v>234</v>
      </c>
      <c r="N295" s="19" t="s">
        <v>59</v>
      </c>
      <c r="O295" s="20"/>
      <c r="P295" s="20"/>
      <c r="Q295" s="20"/>
      <c r="R295" s="20"/>
      <c r="S295" s="22" t="s">
        <v>28</v>
      </c>
      <c r="T295" s="20" t="str">
        <f>IF(AND(C295&gt;='Campaign Metadata'!B$2,Posts!C295&lt;='Campaign Metadata'!C$2),"During","Before/After")</f>
        <v>Before/After</v>
      </c>
      <c r="U295" s="20" t="str">
        <f>IF(AND(C295&gt;='Campaign Metadata'!B$3,Posts!C295&lt;='Campaign Metadata'!C$3),"During","Before/After")</f>
        <v>During</v>
      </c>
      <c r="V295" s="20" t="str">
        <f>IF(AND(C295&gt;='Campaign Metadata'!B$4,Posts!C295&lt;='Campaign Metadata'!C$4),"During","Before/After")</f>
        <v>Before/After</v>
      </c>
      <c r="W295" s="50" t="str">
        <f>IF(AND(C295&gt;='Campaign Metadata'!B$5,Posts!C295&lt;='Campaign Metadata'!C$5),"During","Before/After")</f>
        <v>Before/After</v>
      </c>
    </row>
    <row r="296" spans="1:23" x14ac:dyDescent="0.25">
      <c r="A296" s="49" t="s">
        <v>250</v>
      </c>
      <c r="B296" s="92" t="s">
        <v>30</v>
      </c>
      <c r="C296" s="35" t="s">
        <v>251</v>
      </c>
      <c r="D296" s="17" t="s">
        <v>42</v>
      </c>
      <c r="E296" s="17" t="s">
        <v>85</v>
      </c>
      <c r="F296" s="18">
        <v>498</v>
      </c>
      <c r="G296" s="18">
        <v>38</v>
      </c>
      <c r="H296" s="18">
        <v>42</v>
      </c>
      <c r="I296" s="18">
        <v>4482</v>
      </c>
      <c r="J296" s="18">
        <f t="shared" si="8"/>
        <v>536.0093708165997</v>
      </c>
      <c r="K296" s="18">
        <f t="shared" si="9"/>
        <v>578</v>
      </c>
      <c r="L296" s="18">
        <v>3647</v>
      </c>
      <c r="M296" s="18">
        <v>32</v>
      </c>
      <c r="N296" s="19" t="s">
        <v>59</v>
      </c>
      <c r="O296" s="20"/>
      <c r="P296" s="20"/>
      <c r="Q296" s="20"/>
      <c r="R296" s="20"/>
      <c r="S296" s="21" t="s">
        <v>17</v>
      </c>
      <c r="T296" s="20" t="str">
        <f>IF(AND(C296&gt;='Campaign Metadata'!B$2,Posts!C296&lt;='Campaign Metadata'!C$2),"During","Before/After")</f>
        <v>Before/After</v>
      </c>
      <c r="U296" s="20" t="str">
        <f>IF(AND(C296&gt;='Campaign Metadata'!B$3,Posts!C296&lt;='Campaign Metadata'!C$3),"During","Before/After")</f>
        <v>Before/After</v>
      </c>
      <c r="V296" s="20" t="str">
        <f>IF(AND(C296&gt;='Campaign Metadata'!B$4,Posts!C296&lt;='Campaign Metadata'!C$4),"During","Before/After")</f>
        <v>Before/After</v>
      </c>
      <c r="W296" s="50" t="str">
        <f>IF(AND(C296&gt;='Campaign Metadata'!B$5,Posts!C296&lt;='Campaign Metadata'!C$5),"During","Before/After")</f>
        <v>Before/After</v>
      </c>
    </row>
    <row r="297" spans="1:23" x14ac:dyDescent="0.25">
      <c r="A297" s="49" t="s">
        <v>441</v>
      </c>
      <c r="B297" s="92" t="s">
        <v>30</v>
      </c>
      <c r="C297" s="35" t="s">
        <v>442</v>
      </c>
      <c r="D297" s="17" t="s">
        <v>20</v>
      </c>
      <c r="E297" s="17" t="s">
        <v>109</v>
      </c>
      <c r="F297" s="18">
        <v>246</v>
      </c>
      <c r="G297" s="18">
        <v>149</v>
      </c>
      <c r="H297" s="18">
        <v>130</v>
      </c>
      <c r="I297" s="18">
        <v>4674</v>
      </c>
      <c r="J297" s="18">
        <f t="shared" si="8"/>
        <v>395.02781343602908</v>
      </c>
      <c r="K297" s="18">
        <f t="shared" si="9"/>
        <v>525</v>
      </c>
      <c r="L297" s="18">
        <v>4390</v>
      </c>
      <c r="M297" s="18">
        <v>217</v>
      </c>
      <c r="N297" s="19" t="s">
        <v>59</v>
      </c>
      <c r="O297" s="20"/>
      <c r="P297" s="20"/>
      <c r="Q297" s="20"/>
      <c r="R297" s="20"/>
      <c r="S297" s="22" t="s">
        <v>28</v>
      </c>
      <c r="T297" s="20" t="str">
        <f>IF(AND(C297&gt;='Campaign Metadata'!B$2,Posts!C297&lt;='Campaign Metadata'!C$2),"During","Before/After")</f>
        <v>Before/After</v>
      </c>
      <c r="U297" s="20" t="str">
        <f>IF(AND(C297&gt;='Campaign Metadata'!B$3,Posts!C297&lt;='Campaign Metadata'!C$3),"During","Before/After")</f>
        <v>Before/After</v>
      </c>
      <c r="V297" s="20" t="str">
        <f>IF(AND(C297&gt;='Campaign Metadata'!B$4,Posts!C297&lt;='Campaign Metadata'!C$4),"During","Before/After")</f>
        <v>Before/After</v>
      </c>
      <c r="W297" s="50" t="str">
        <f>IF(AND(C297&gt;='Campaign Metadata'!B$5,Posts!C297&lt;='Campaign Metadata'!C$5),"During","Before/After")</f>
        <v>Before/After</v>
      </c>
    </row>
    <row r="298" spans="1:23" x14ac:dyDescent="0.25">
      <c r="A298" s="49" t="s">
        <v>312</v>
      </c>
      <c r="B298" s="92" t="s">
        <v>24</v>
      </c>
      <c r="C298" s="35" t="s">
        <v>267</v>
      </c>
      <c r="D298" s="17" t="s">
        <v>42</v>
      </c>
      <c r="E298" s="17" t="s">
        <v>65</v>
      </c>
      <c r="F298" s="18">
        <v>80</v>
      </c>
      <c r="G298" s="18">
        <v>362</v>
      </c>
      <c r="H298" s="18">
        <v>80</v>
      </c>
      <c r="I298" s="18">
        <v>1040</v>
      </c>
      <c r="J298" s="18">
        <f t="shared" si="8"/>
        <v>442.07692307692309</v>
      </c>
      <c r="K298" s="18">
        <f t="shared" si="9"/>
        <v>522</v>
      </c>
      <c r="L298" s="18">
        <v>349</v>
      </c>
      <c r="M298" s="18">
        <v>117</v>
      </c>
      <c r="N298" s="19" t="s">
        <v>27</v>
      </c>
      <c r="O298" s="20"/>
      <c r="P298" s="20"/>
      <c r="Q298" s="20"/>
      <c r="R298" s="20"/>
      <c r="S298" s="22" t="s">
        <v>28</v>
      </c>
      <c r="T298" s="20" t="str">
        <f>IF(AND(C298&gt;='Campaign Metadata'!B$2,Posts!C298&lt;='Campaign Metadata'!C$2),"During","Before/After")</f>
        <v>Before/After</v>
      </c>
      <c r="U298" s="20" t="str">
        <f>IF(AND(C298&gt;='Campaign Metadata'!B$3,Posts!C298&lt;='Campaign Metadata'!C$3),"During","Before/After")</f>
        <v>Before/After</v>
      </c>
      <c r="V298" s="20" t="str">
        <f>IF(AND(C298&gt;='Campaign Metadata'!B$4,Posts!C298&lt;='Campaign Metadata'!C$4),"During","Before/After")</f>
        <v>During</v>
      </c>
      <c r="W298" s="50" t="str">
        <f>IF(AND(C298&gt;='Campaign Metadata'!B$5,Posts!C298&lt;='Campaign Metadata'!C$5),"During","Before/After")</f>
        <v>Before/After</v>
      </c>
    </row>
    <row r="299" spans="1:23" x14ac:dyDescent="0.25">
      <c r="A299" s="49" t="s">
        <v>172</v>
      </c>
      <c r="B299" s="92" t="s">
        <v>13</v>
      </c>
      <c r="C299" s="35" t="s">
        <v>173</v>
      </c>
      <c r="D299" s="17" t="s">
        <v>42</v>
      </c>
      <c r="E299" s="17" t="s">
        <v>46</v>
      </c>
      <c r="F299" s="18">
        <v>53</v>
      </c>
      <c r="G299" s="18">
        <v>81</v>
      </c>
      <c r="H299" s="18">
        <v>379</v>
      </c>
      <c r="I299" s="18">
        <v>954</v>
      </c>
      <c r="J299" s="18">
        <f t="shared" si="8"/>
        <v>134.39727463312369</v>
      </c>
      <c r="K299" s="18">
        <f t="shared" si="9"/>
        <v>513</v>
      </c>
      <c r="L299" s="18">
        <v>7</v>
      </c>
      <c r="M299" s="18">
        <v>148</v>
      </c>
      <c r="N299" s="19" t="s">
        <v>27</v>
      </c>
      <c r="O299" s="20"/>
      <c r="P299" s="20"/>
      <c r="Q299" s="20"/>
      <c r="R299" s="20"/>
      <c r="S299" s="22" t="s">
        <v>28</v>
      </c>
      <c r="T299" s="20" t="str">
        <f>IF(AND(C299&gt;='Campaign Metadata'!B$2,Posts!C299&lt;='Campaign Metadata'!C$2),"During","Before/After")</f>
        <v>Before/After</v>
      </c>
      <c r="U299" s="20" t="str">
        <f>IF(AND(C299&gt;='Campaign Metadata'!B$3,Posts!C299&lt;='Campaign Metadata'!C$3),"During","Before/After")</f>
        <v>Before/After</v>
      </c>
      <c r="V299" s="20" t="str">
        <f>IF(AND(C299&gt;='Campaign Metadata'!B$4,Posts!C299&lt;='Campaign Metadata'!C$4),"During","Before/After")</f>
        <v>Before/After</v>
      </c>
      <c r="W299" s="50" t="str">
        <f>IF(AND(C299&gt;='Campaign Metadata'!B$5,Posts!C299&lt;='Campaign Metadata'!C$5),"During","Before/After")</f>
        <v>Before/After</v>
      </c>
    </row>
    <row r="300" spans="1:23" x14ac:dyDescent="0.25">
      <c r="A300" s="49" t="s">
        <v>190</v>
      </c>
      <c r="B300" s="92" t="s">
        <v>24</v>
      </c>
      <c r="C300" s="35" t="s">
        <v>191</v>
      </c>
      <c r="D300" s="17" t="s">
        <v>15</v>
      </c>
      <c r="E300" s="17" t="s">
        <v>26</v>
      </c>
      <c r="F300" s="18">
        <v>296</v>
      </c>
      <c r="G300" s="18">
        <v>60</v>
      </c>
      <c r="H300" s="18">
        <v>141</v>
      </c>
      <c r="I300" s="18">
        <v>5624</v>
      </c>
      <c r="J300" s="18">
        <f t="shared" si="8"/>
        <v>356.02507112375531</v>
      </c>
      <c r="K300" s="18">
        <f t="shared" si="9"/>
        <v>497</v>
      </c>
      <c r="L300" s="18">
        <v>5239</v>
      </c>
      <c r="M300" s="18">
        <v>88</v>
      </c>
      <c r="N300" s="19" t="s">
        <v>34</v>
      </c>
      <c r="O300" s="20"/>
      <c r="P300" s="20"/>
      <c r="Q300" s="20"/>
      <c r="R300" s="20"/>
      <c r="S300" s="22" t="s">
        <v>22</v>
      </c>
      <c r="T300" s="20" t="str">
        <f>IF(AND(C300&gt;='Campaign Metadata'!B$2,Posts!C300&lt;='Campaign Metadata'!C$2),"During","Before/After")</f>
        <v>Before/After</v>
      </c>
      <c r="U300" s="20" t="str">
        <f>IF(AND(C300&gt;='Campaign Metadata'!B$3,Posts!C300&lt;='Campaign Metadata'!C$3),"During","Before/After")</f>
        <v>During</v>
      </c>
      <c r="V300" s="20" t="str">
        <f>IF(AND(C300&gt;='Campaign Metadata'!B$4,Posts!C300&lt;='Campaign Metadata'!C$4),"During","Before/After")</f>
        <v>Before/After</v>
      </c>
      <c r="W300" s="50" t="str">
        <f>IF(AND(C300&gt;='Campaign Metadata'!B$5,Posts!C300&lt;='Campaign Metadata'!C$5),"During","Before/After")</f>
        <v>Before/After</v>
      </c>
    </row>
    <row r="301" spans="1:23" x14ac:dyDescent="0.25">
      <c r="A301" s="60" t="s">
        <v>496</v>
      </c>
      <c r="B301" s="93" t="s">
        <v>13</v>
      </c>
      <c r="C301" s="62" t="s">
        <v>497</v>
      </c>
      <c r="D301" s="61" t="s">
        <v>49</v>
      </c>
      <c r="E301" s="61" t="s">
        <v>128</v>
      </c>
      <c r="F301" s="63">
        <v>59</v>
      </c>
      <c r="G301" s="63">
        <v>163</v>
      </c>
      <c r="H301" s="63">
        <v>93</v>
      </c>
      <c r="I301" s="63">
        <v>590</v>
      </c>
      <c r="J301" s="63">
        <f t="shared" si="8"/>
        <v>222.15762711864406</v>
      </c>
      <c r="K301" s="63">
        <f t="shared" si="9"/>
        <v>315</v>
      </c>
      <c r="L301" s="63">
        <v>475</v>
      </c>
      <c r="M301" s="63">
        <v>293</v>
      </c>
      <c r="N301" s="64" t="s">
        <v>27</v>
      </c>
      <c r="O301" s="65"/>
      <c r="P301" s="65"/>
      <c r="Q301" s="65"/>
      <c r="R301" s="65"/>
      <c r="S301" s="66" t="s">
        <v>22</v>
      </c>
      <c r="T301" s="65" t="str">
        <f>IF(AND(C301&gt;='Campaign Metadata'!B$2,Posts!C301&lt;='Campaign Metadata'!C$2),"During","Before/After")</f>
        <v>Before/After</v>
      </c>
      <c r="U301" s="65" t="str">
        <f>IF(AND(C301&gt;='Campaign Metadata'!B$3,Posts!C301&lt;='Campaign Metadata'!C$3),"During","Before/After")</f>
        <v>Before/After</v>
      </c>
      <c r="V301" s="65" t="str">
        <f>IF(AND(C301&gt;='Campaign Metadata'!B$4,Posts!C301&lt;='Campaign Metadata'!C$4),"During","Before/After")</f>
        <v>Before/After</v>
      </c>
      <c r="W301" s="67" t="str">
        <f>IF(AND(C301&gt;='Campaign Metadata'!B$5,Posts!C301&lt;='Campaign Metadata'!C$5),"During","Before/After")</f>
        <v>Before/After</v>
      </c>
    </row>
  </sheetData>
  <sortState xmlns:xlrd2="http://schemas.microsoft.com/office/spreadsheetml/2017/richdata2" ref="K2:K1001">
    <sortCondition ref="K1:K1001"/>
  </sortState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sqref="A1:H5"/>
    </sheetView>
  </sheetViews>
  <sheetFormatPr defaultColWidth="14.42578125" defaultRowHeight="15" x14ac:dyDescent="0.25"/>
  <cols>
    <col min="1" max="1" width="18.140625" customWidth="1"/>
    <col min="2" max="2" width="12.42578125" style="9" customWidth="1"/>
    <col min="3" max="3" width="11.5703125" style="9" customWidth="1"/>
    <col min="4" max="4" width="16.42578125" bestFit="1" customWidth="1"/>
    <col min="5" max="5" width="15.7109375" style="12" customWidth="1"/>
    <col min="6" max="6" width="36.28515625" style="12" customWidth="1"/>
    <col min="7" max="7" width="19" bestFit="1" customWidth="1"/>
    <col min="8" max="8" width="18.85546875" customWidth="1"/>
    <col min="9" max="27" width="17.7109375" customWidth="1"/>
  </cols>
  <sheetData>
    <row r="1" spans="1:9" x14ac:dyDescent="0.25">
      <c r="A1" s="72" t="s">
        <v>11</v>
      </c>
      <c r="B1" s="73" t="s">
        <v>576</v>
      </c>
      <c r="C1" s="74" t="s">
        <v>577</v>
      </c>
      <c r="D1" s="75" t="s">
        <v>578</v>
      </c>
      <c r="E1" s="76" t="s">
        <v>579</v>
      </c>
      <c r="F1" s="77" t="s">
        <v>623</v>
      </c>
      <c r="G1" s="75" t="s">
        <v>580</v>
      </c>
      <c r="H1" s="78" t="s">
        <v>581</v>
      </c>
      <c r="I1" s="1"/>
    </row>
    <row r="2" spans="1:9" ht="30" x14ac:dyDescent="0.25">
      <c r="A2" s="68" t="s">
        <v>17</v>
      </c>
      <c r="B2" s="6" t="s">
        <v>582</v>
      </c>
      <c r="C2" s="7" t="s">
        <v>308</v>
      </c>
      <c r="D2" s="2" t="s">
        <v>583</v>
      </c>
      <c r="E2" s="10">
        <v>150000</v>
      </c>
      <c r="F2" s="36">
        <f>SUMIF(Posts!T2:T301,"During",Posts!K2:K301)</f>
        <v>103773</v>
      </c>
      <c r="G2" s="2" t="s">
        <v>584</v>
      </c>
      <c r="H2" s="71" t="s">
        <v>38</v>
      </c>
    </row>
    <row r="3" spans="1:9" ht="30" x14ac:dyDescent="0.25">
      <c r="A3" s="69" t="s">
        <v>35</v>
      </c>
      <c r="B3" s="6" t="s">
        <v>593</v>
      </c>
      <c r="C3" s="7" t="s">
        <v>573</v>
      </c>
      <c r="D3" s="2" t="s">
        <v>594</v>
      </c>
      <c r="E3" s="10">
        <v>180000</v>
      </c>
      <c r="F3" s="36">
        <f>SUMIF(Posts!W2:W301,"During",Posts!K2:K301)</f>
        <v>33044</v>
      </c>
      <c r="G3" s="2" t="s">
        <v>595</v>
      </c>
      <c r="H3" s="71" t="s">
        <v>596</v>
      </c>
    </row>
    <row r="4" spans="1:9" ht="30" x14ac:dyDescent="0.25">
      <c r="A4" s="70" t="s">
        <v>22</v>
      </c>
      <c r="B4" s="6" t="s">
        <v>585</v>
      </c>
      <c r="C4" s="7" t="s">
        <v>41</v>
      </c>
      <c r="D4" s="2" t="s">
        <v>586</v>
      </c>
      <c r="E4" s="10">
        <v>200000</v>
      </c>
      <c r="F4" s="36">
        <f>SUMIF(Posts!U2:U301,"During",Posts!K2:K301)</f>
        <v>106020</v>
      </c>
      <c r="G4" s="2" t="s">
        <v>587</v>
      </c>
      <c r="H4" s="71" t="s">
        <v>588</v>
      </c>
    </row>
    <row r="5" spans="1:9" ht="30" x14ac:dyDescent="0.25">
      <c r="A5" s="79" t="s">
        <v>28</v>
      </c>
      <c r="B5" s="80" t="s">
        <v>589</v>
      </c>
      <c r="C5" s="81" t="s">
        <v>223</v>
      </c>
      <c r="D5" s="82" t="s">
        <v>590</v>
      </c>
      <c r="E5" s="83">
        <v>250000</v>
      </c>
      <c r="F5" s="84">
        <f>SUMIF(Posts!V2:V301,"During",Posts!K2:K301)</f>
        <v>137691</v>
      </c>
      <c r="G5" s="82" t="s">
        <v>591</v>
      </c>
      <c r="H5" s="85" t="s">
        <v>592</v>
      </c>
    </row>
    <row r="6" spans="1:9" x14ac:dyDescent="0.25">
      <c r="B6" s="8"/>
      <c r="E6" s="11"/>
      <c r="F6" s="11"/>
      <c r="H6" s="3"/>
    </row>
    <row r="7" spans="1:9" x14ac:dyDescent="0.25">
      <c r="B7" s="8"/>
      <c r="E7" s="11"/>
      <c r="F7" s="11"/>
      <c r="H7" s="3"/>
    </row>
    <row r="8" spans="1:9" x14ac:dyDescent="0.25">
      <c r="B8" s="8"/>
      <c r="E8" s="11"/>
      <c r="F8" s="11"/>
      <c r="H8" s="3"/>
    </row>
    <row r="9" spans="1:9" x14ac:dyDescent="0.25">
      <c r="B9" s="8"/>
      <c r="E9" s="11"/>
      <c r="F9" s="11"/>
      <c r="H9" s="3"/>
    </row>
    <row r="10" spans="1:9" x14ac:dyDescent="0.25">
      <c r="B10" s="8"/>
      <c r="E10" s="11"/>
      <c r="F10" s="11"/>
      <c r="H10" s="3"/>
    </row>
    <row r="11" spans="1:9" x14ac:dyDescent="0.25">
      <c r="B11" s="8"/>
      <c r="E11" s="11"/>
      <c r="F11" s="11"/>
      <c r="H11" s="3"/>
    </row>
    <row r="12" spans="1:9" x14ac:dyDescent="0.25">
      <c r="B12" s="8"/>
      <c r="E12" s="11"/>
      <c r="F12" s="11"/>
      <c r="H12" s="3"/>
    </row>
    <row r="13" spans="1:9" x14ac:dyDescent="0.25">
      <c r="B13" s="8"/>
      <c r="E13" s="11"/>
      <c r="F13" s="11"/>
      <c r="H13" s="3"/>
    </row>
    <row r="14" spans="1:9" x14ac:dyDescent="0.25">
      <c r="B14" s="8"/>
      <c r="E14" s="11"/>
      <c r="F14" s="11"/>
      <c r="H14" s="3"/>
    </row>
    <row r="15" spans="1:9" x14ac:dyDescent="0.25">
      <c r="B15" s="8"/>
      <c r="E15" s="11"/>
      <c r="F15" s="11"/>
      <c r="H15" s="3"/>
    </row>
    <row r="16" spans="1:9" x14ac:dyDescent="0.25">
      <c r="B16" s="8"/>
      <c r="E16" s="11"/>
      <c r="F16" s="11"/>
      <c r="H16" s="3"/>
    </row>
    <row r="17" spans="2:8" x14ac:dyDescent="0.25">
      <c r="B17" s="8"/>
      <c r="E17" s="11"/>
      <c r="F17" s="11"/>
      <c r="H17" s="3"/>
    </row>
    <row r="18" spans="2:8" x14ac:dyDescent="0.25">
      <c r="B18" s="8"/>
      <c r="E18" s="11"/>
      <c r="F18" s="11"/>
      <c r="H18" s="3"/>
    </row>
    <row r="19" spans="2:8" x14ac:dyDescent="0.25">
      <c r="B19" s="8"/>
      <c r="E19" s="11"/>
      <c r="F19" s="11"/>
      <c r="H19" s="3"/>
    </row>
    <row r="20" spans="2:8" x14ac:dyDescent="0.25">
      <c r="B20" s="8"/>
      <c r="E20" s="11"/>
      <c r="F20" s="11"/>
      <c r="H20" s="3"/>
    </row>
    <row r="21" spans="2:8" x14ac:dyDescent="0.25">
      <c r="B21" s="8"/>
      <c r="E21" s="11"/>
      <c r="F21" s="11"/>
      <c r="H21" s="3"/>
    </row>
    <row r="22" spans="2:8" x14ac:dyDescent="0.25">
      <c r="B22" s="8"/>
      <c r="E22" s="11"/>
      <c r="F22" s="11"/>
      <c r="H22" s="3"/>
    </row>
    <row r="23" spans="2:8" x14ac:dyDescent="0.25">
      <c r="B23" s="8"/>
      <c r="E23" s="11"/>
      <c r="F23" s="11"/>
      <c r="H23" s="3"/>
    </row>
    <row r="24" spans="2:8" x14ac:dyDescent="0.25">
      <c r="B24" s="8"/>
      <c r="E24" s="11"/>
      <c r="F24" s="11"/>
      <c r="H24" s="3"/>
    </row>
    <row r="25" spans="2:8" x14ac:dyDescent="0.25">
      <c r="B25" s="8"/>
      <c r="E25" s="11"/>
      <c r="F25" s="11"/>
      <c r="H25" s="3"/>
    </row>
    <row r="26" spans="2:8" x14ac:dyDescent="0.25">
      <c r="B26" s="8"/>
      <c r="E26" s="11"/>
      <c r="F26" s="11"/>
      <c r="H26" s="3"/>
    </row>
    <row r="27" spans="2:8" x14ac:dyDescent="0.25">
      <c r="B27" s="8"/>
      <c r="E27" s="11"/>
      <c r="F27" s="11"/>
      <c r="H27" s="3"/>
    </row>
    <row r="28" spans="2:8" x14ac:dyDescent="0.25">
      <c r="B28" s="8"/>
      <c r="E28" s="11"/>
      <c r="F28" s="11"/>
      <c r="H28" s="3"/>
    </row>
    <row r="29" spans="2:8" x14ac:dyDescent="0.25">
      <c r="B29" s="8"/>
      <c r="E29" s="11"/>
      <c r="F29" s="11"/>
      <c r="H29" s="3"/>
    </row>
    <row r="30" spans="2:8" x14ac:dyDescent="0.25">
      <c r="B30" s="8"/>
      <c r="E30" s="11"/>
      <c r="F30" s="11"/>
      <c r="H30" s="3"/>
    </row>
    <row r="31" spans="2:8" x14ac:dyDescent="0.25">
      <c r="B31" s="8"/>
      <c r="E31" s="11"/>
      <c r="F31" s="11"/>
      <c r="H31" s="3"/>
    </row>
    <row r="32" spans="2:8" x14ac:dyDescent="0.25">
      <c r="B32" s="8"/>
      <c r="E32" s="11"/>
      <c r="F32" s="11"/>
      <c r="H32" s="3"/>
    </row>
    <row r="33" spans="2:8" x14ac:dyDescent="0.25">
      <c r="B33" s="8"/>
      <c r="E33" s="11"/>
      <c r="F33" s="11"/>
      <c r="H33" s="3"/>
    </row>
    <row r="34" spans="2:8" x14ac:dyDescent="0.25">
      <c r="B34" s="8"/>
      <c r="E34" s="11"/>
      <c r="F34" s="11"/>
      <c r="H34" s="3"/>
    </row>
    <row r="35" spans="2:8" x14ac:dyDescent="0.25">
      <c r="B35" s="8"/>
      <c r="E35" s="11"/>
      <c r="F35" s="11"/>
      <c r="H35" s="3"/>
    </row>
    <row r="36" spans="2:8" x14ac:dyDescent="0.25">
      <c r="B36" s="8"/>
      <c r="E36" s="11"/>
      <c r="F36" s="11"/>
      <c r="H36" s="3"/>
    </row>
    <row r="37" spans="2:8" x14ac:dyDescent="0.25">
      <c r="B37" s="8"/>
      <c r="E37" s="11"/>
      <c r="F37" s="11"/>
      <c r="H37" s="3"/>
    </row>
    <row r="38" spans="2:8" x14ac:dyDescent="0.25">
      <c r="B38" s="8"/>
      <c r="E38" s="11"/>
      <c r="F38" s="11"/>
      <c r="H38" s="3"/>
    </row>
    <row r="39" spans="2:8" x14ac:dyDescent="0.25">
      <c r="B39" s="8"/>
      <c r="E39" s="11"/>
      <c r="F39" s="11"/>
      <c r="H39" s="3"/>
    </row>
    <row r="40" spans="2:8" x14ac:dyDescent="0.25">
      <c r="B40" s="8"/>
      <c r="E40" s="11"/>
      <c r="F40" s="11"/>
      <c r="H40" s="3"/>
    </row>
    <row r="41" spans="2:8" x14ac:dyDescent="0.25">
      <c r="B41" s="8"/>
      <c r="E41" s="11"/>
      <c r="F41" s="11"/>
      <c r="H41" s="3"/>
    </row>
    <row r="42" spans="2:8" x14ac:dyDescent="0.25">
      <c r="B42" s="8"/>
      <c r="E42" s="11"/>
      <c r="F42" s="11"/>
      <c r="H42" s="3"/>
    </row>
    <row r="43" spans="2:8" x14ac:dyDescent="0.25">
      <c r="B43" s="8"/>
      <c r="E43" s="11"/>
      <c r="F43" s="11"/>
      <c r="H43" s="3"/>
    </row>
    <row r="44" spans="2:8" x14ac:dyDescent="0.25">
      <c r="B44" s="8"/>
      <c r="E44" s="11"/>
      <c r="F44" s="11"/>
      <c r="H44" s="3"/>
    </row>
    <row r="45" spans="2:8" x14ac:dyDescent="0.25">
      <c r="B45" s="8"/>
      <c r="E45" s="11"/>
      <c r="F45" s="11"/>
      <c r="H45" s="3"/>
    </row>
    <row r="46" spans="2:8" x14ac:dyDescent="0.25">
      <c r="B46" s="8"/>
      <c r="E46" s="11"/>
      <c r="F46" s="11"/>
      <c r="H46" s="3"/>
    </row>
    <row r="47" spans="2:8" x14ac:dyDescent="0.25">
      <c r="B47" s="8"/>
      <c r="E47" s="11"/>
      <c r="F47" s="11"/>
      <c r="H47" s="3"/>
    </row>
    <row r="48" spans="2:8" x14ac:dyDescent="0.25">
      <c r="B48" s="8"/>
      <c r="E48" s="11"/>
      <c r="F48" s="11"/>
      <c r="H48" s="3"/>
    </row>
    <row r="49" spans="2:8" x14ac:dyDescent="0.25">
      <c r="B49" s="8"/>
      <c r="E49" s="11"/>
      <c r="F49" s="11"/>
      <c r="H49" s="3"/>
    </row>
    <row r="50" spans="2:8" x14ac:dyDescent="0.25">
      <c r="B50" s="8"/>
      <c r="E50" s="11"/>
      <c r="F50" s="11"/>
      <c r="H50" s="3"/>
    </row>
    <row r="51" spans="2:8" x14ac:dyDescent="0.25">
      <c r="B51" s="8"/>
      <c r="E51" s="11"/>
      <c r="F51" s="11"/>
      <c r="H51" s="3"/>
    </row>
    <row r="52" spans="2:8" x14ac:dyDescent="0.25">
      <c r="B52" s="8"/>
      <c r="E52" s="11"/>
      <c r="F52" s="11"/>
      <c r="H52" s="3"/>
    </row>
    <row r="53" spans="2:8" x14ac:dyDescent="0.25">
      <c r="B53" s="8"/>
      <c r="E53" s="11"/>
      <c r="F53" s="11"/>
      <c r="H53" s="3"/>
    </row>
    <row r="54" spans="2:8" x14ac:dyDescent="0.25">
      <c r="B54" s="8"/>
      <c r="E54" s="11"/>
      <c r="F54" s="11"/>
      <c r="H54" s="3"/>
    </row>
    <row r="55" spans="2:8" x14ac:dyDescent="0.25">
      <c r="B55" s="8"/>
      <c r="E55" s="11"/>
      <c r="F55" s="11"/>
      <c r="H55" s="3"/>
    </row>
    <row r="56" spans="2:8" x14ac:dyDescent="0.25">
      <c r="B56" s="8"/>
      <c r="E56" s="11"/>
      <c r="F56" s="11"/>
      <c r="H56" s="3"/>
    </row>
    <row r="57" spans="2:8" x14ac:dyDescent="0.25">
      <c r="B57" s="8"/>
      <c r="E57" s="11"/>
      <c r="F57" s="11"/>
      <c r="H57" s="3"/>
    </row>
    <row r="58" spans="2:8" x14ac:dyDescent="0.25">
      <c r="B58" s="8"/>
      <c r="E58" s="11"/>
      <c r="F58" s="11"/>
      <c r="H58" s="3"/>
    </row>
    <row r="59" spans="2:8" x14ac:dyDescent="0.25">
      <c r="B59" s="8"/>
      <c r="E59" s="11"/>
      <c r="F59" s="11"/>
      <c r="H59" s="3"/>
    </row>
    <row r="60" spans="2:8" x14ac:dyDescent="0.25">
      <c r="B60" s="8"/>
      <c r="E60" s="11"/>
      <c r="F60" s="11"/>
      <c r="H60" s="3"/>
    </row>
    <row r="61" spans="2:8" x14ac:dyDescent="0.25">
      <c r="B61" s="8"/>
      <c r="E61" s="11"/>
      <c r="F61" s="11"/>
      <c r="H61" s="3"/>
    </row>
    <row r="62" spans="2:8" x14ac:dyDescent="0.25">
      <c r="B62" s="8"/>
      <c r="E62" s="11"/>
      <c r="F62" s="11"/>
      <c r="H62" s="3"/>
    </row>
    <row r="63" spans="2:8" x14ac:dyDescent="0.25">
      <c r="B63" s="8"/>
      <c r="E63" s="11"/>
      <c r="F63" s="11"/>
      <c r="H63" s="3"/>
    </row>
    <row r="64" spans="2:8" x14ac:dyDescent="0.25">
      <c r="B64" s="8"/>
      <c r="E64" s="11"/>
      <c r="F64" s="11"/>
      <c r="H64" s="3"/>
    </row>
    <row r="65" spans="2:8" x14ac:dyDescent="0.25">
      <c r="B65" s="8"/>
      <c r="E65" s="11"/>
      <c r="F65" s="11"/>
      <c r="H65" s="3"/>
    </row>
    <row r="66" spans="2:8" x14ac:dyDescent="0.25">
      <c r="B66" s="8"/>
      <c r="E66" s="11"/>
      <c r="F66" s="11"/>
      <c r="H66" s="3"/>
    </row>
    <row r="67" spans="2:8" x14ac:dyDescent="0.25">
      <c r="B67" s="8"/>
      <c r="E67" s="11"/>
      <c r="F67" s="11"/>
      <c r="H67" s="3"/>
    </row>
    <row r="68" spans="2:8" x14ac:dyDescent="0.25">
      <c r="B68" s="8"/>
      <c r="E68" s="11"/>
      <c r="F68" s="11"/>
      <c r="H68" s="3"/>
    </row>
    <row r="69" spans="2:8" x14ac:dyDescent="0.25">
      <c r="B69" s="8"/>
      <c r="E69" s="11"/>
      <c r="F69" s="11"/>
      <c r="H69" s="3"/>
    </row>
    <row r="70" spans="2:8" x14ac:dyDescent="0.25">
      <c r="B70" s="8"/>
      <c r="E70" s="11"/>
      <c r="F70" s="11"/>
      <c r="H70" s="3"/>
    </row>
    <row r="71" spans="2:8" x14ac:dyDescent="0.25">
      <c r="B71" s="8"/>
      <c r="E71" s="11"/>
      <c r="F71" s="11"/>
      <c r="H71" s="3"/>
    </row>
    <row r="72" spans="2:8" x14ac:dyDescent="0.25">
      <c r="B72" s="8"/>
      <c r="E72" s="11"/>
      <c r="F72" s="11"/>
      <c r="H72" s="3"/>
    </row>
    <row r="73" spans="2:8" x14ac:dyDescent="0.25">
      <c r="B73" s="8"/>
      <c r="E73" s="11"/>
      <c r="F73" s="11"/>
      <c r="H73" s="3"/>
    </row>
    <row r="74" spans="2:8" x14ac:dyDescent="0.25">
      <c r="B74" s="8"/>
      <c r="E74" s="11"/>
      <c r="F74" s="11"/>
      <c r="H74" s="3"/>
    </row>
    <row r="75" spans="2:8" x14ac:dyDescent="0.25">
      <c r="B75" s="8"/>
      <c r="E75" s="11"/>
      <c r="F75" s="11"/>
      <c r="H75" s="3"/>
    </row>
    <row r="76" spans="2:8" x14ac:dyDescent="0.25">
      <c r="B76" s="8"/>
      <c r="E76" s="11"/>
      <c r="F76" s="11"/>
      <c r="H76" s="3"/>
    </row>
    <row r="77" spans="2:8" x14ac:dyDescent="0.25">
      <c r="B77" s="8"/>
      <c r="E77" s="11"/>
      <c r="F77" s="11"/>
      <c r="H77" s="3"/>
    </row>
    <row r="78" spans="2:8" x14ac:dyDescent="0.25">
      <c r="B78" s="8"/>
      <c r="E78" s="11"/>
      <c r="F78" s="11"/>
      <c r="H78" s="3"/>
    </row>
    <row r="79" spans="2:8" x14ac:dyDescent="0.25">
      <c r="B79" s="8"/>
      <c r="E79" s="11"/>
      <c r="F79" s="11"/>
      <c r="H79" s="3"/>
    </row>
    <row r="80" spans="2:8" x14ac:dyDescent="0.25">
      <c r="B80" s="8"/>
      <c r="E80" s="11"/>
      <c r="F80" s="11"/>
      <c r="H80" s="3"/>
    </row>
    <row r="81" spans="2:8" x14ac:dyDescent="0.25">
      <c r="B81" s="8"/>
      <c r="E81" s="11"/>
      <c r="F81" s="11"/>
      <c r="H81" s="3"/>
    </row>
    <row r="82" spans="2:8" x14ac:dyDescent="0.25">
      <c r="B82" s="8"/>
      <c r="E82" s="11"/>
      <c r="F82" s="11"/>
      <c r="H82" s="3"/>
    </row>
    <row r="83" spans="2:8" x14ac:dyDescent="0.25">
      <c r="B83" s="8"/>
      <c r="E83" s="11"/>
      <c r="F83" s="11"/>
      <c r="H83" s="3"/>
    </row>
    <row r="84" spans="2:8" x14ac:dyDescent="0.25">
      <c r="B84" s="8"/>
      <c r="E84" s="11"/>
      <c r="F84" s="11"/>
      <c r="H84" s="3"/>
    </row>
    <row r="85" spans="2:8" x14ac:dyDescent="0.25">
      <c r="B85" s="8"/>
      <c r="E85" s="11"/>
      <c r="F85" s="11"/>
      <c r="H85" s="3"/>
    </row>
    <row r="86" spans="2:8" x14ac:dyDescent="0.25">
      <c r="B86" s="8"/>
      <c r="E86" s="11"/>
      <c r="F86" s="11"/>
      <c r="H86" s="3"/>
    </row>
    <row r="87" spans="2:8" x14ac:dyDescent="0.25">
      <c r="B87" s="8"/>
      <c r="E87" s="11"/>
      <c r="F87" s="11"/>
      <c r="H87" s="3"/>
    </row>
    <row r="88" spans="2:8" x14ac:dyDescent="0.25">
      <c r="B88" s="8"/>
      <c r="E88" s="11"/>
      <c r="F88" s="11"/>
      <c r="H88" s="3"/>
    </row>
    <row r="89" spans="2:8" x14ac:dyDescent="0.25">
      <c r="B89" s="8"/>
      <c r="E89" s="11"/>
      <c r="F89" s="11"/>
      <c r="H89" s="3"/>
    </row>
    <row r="90" spans="2:8" x14ac:dyDescent="0.25">
      <c r="B90" s="8"/>
      <c r="E90" s="11"/>
      <c r="F90" s="11"/>
      <c r="H90" s="3"/>
    </row>
    <row r="91" spans="2:8" x14ac:dyDescent="0.25">
      <c r="B91" s="8"/>
      <c r="E91" s="11"/>
      <c r="F91" s="11"/>
      <c r="H91" s="3"/>
    </row>
    <row r="92" spans="2:8" x14ac:dyDescent="0.25">
      <c r="B92" s="8"/>
      <c r="E92" s="11"/>
      <c r="F92" s="11"/>
      <c r="H92" s="3"/>
    </row>
    <row r="93" spans="2:8" x14ac:dyDescent="0.25">
      <c r="B93" s="8"/>
      <c r="E93" s="11"/>
      <c r="F93" s="11"/>
      <c r="H93" s="3"/>
    </row>
    <row r="94" spans="2:8" x14ac:dyDescent="0.25">
      <c r="B94" s="8"/>
      <c r="E94" s="11"/>
      <c r="F94" s="11"/>
      <c r="H94" s="3"/>
    </row>
    <row r="95" spans="2:8" x14ac:dyDescent="0.25">
      <c r="B95" s="8"/>
      <c r="E95" s="11"/>
      <c r="F95" s="11"/>
      <c r="H95" s="3"/>
    </row>
    <row r="96" spans="2:8" x14ac:dyDescent="0.25">
      <c r="B96" s="8"/>
      <c r="E96" s="11"/>
      <c r="F96" s="11"/>
      <c r="H96" s="3"/>
    </row>
    <row r="97" spans="2:8" x14ac:dyDescent="0.25">
      <c r="B97" s="8"/>
      <c r="E97" s="11"/>
      <c r="F97" s="11"/>
      <c r="H97" s="3"/>
    </row>
    <row r="98" spans="2:8" x14ac:dyDescent="0.25">
      <c r="B98" s="8"/>
      <c r="E98" s="11"/>
      <c r="F98" s="11"/>
      <c r="H98" s="3"/>
    </row>
    <row r="99" spans="2:8" x14ac:dyDescent="0.25">
      <c r="B99" s="8"/>
      <c r="E99" s="11"/>
      <c r="F99" s="11"/>
      <c r="H99" s="3"/>
    </row>
    <row r="100" spans="2:8" x14ac:dyDescent="0.25">
      <c r="B100" s="8"/>
      <c r="E100" s="11"/>
      <c r="F100" s="11"/>
      <c r="H100" s="3"/>
    </row>
    <row r="101" spans="2:8" x14ac:dyDescent="0.25">
      <c r="B101" s="8"/>
      <c r="E101" s="11"/>
      <c r="F101" s="11"/>
      <c r="H101" s="3"/>
    </row>
    <row r="102" spans="2:8" x14ac:dyDescent="0.25">
      <c r="B102" s="8"/>
      <c r="E102" s="11"/>
      <c r="F102" s="11"/>
      <c r="H102" s="3"/>
    </row>
    <row r="103" spans="2:8" x14ac:dyDescent="0.25">
      <c r="B103" s="8"/>
      <c r="E103" s="11"/>
      <c r="F103" s="11"/>
      <c r="H103" s="3"/>
    </row>
    <row r="104" spans="2:8" x14ac:dyDescent="0.25">
      <c r="B104" s="8"/>
      <c r="E104" s="11"/>
      <c r="F104" s="11"/>
      <c r="H104" s="3"/>
    </row>
    <row r="105" spans="2:8" x14ac:dyDescent="0.25">
      <c r="B105" s="8"/>
      <c r="E105" s="11"/>
      <c r="F105" s="11"/>
      <c r="H105" s="3"/>
    </row>
    <row r="106" spans="2:8" x14ac:dyDescent="0.25">
      <c r="B106" s="8"/>
      <c r="E106" s="11"/>
      <c r="F106" s="11"/>
      <c r="H106" s="3"/>
    </row>
    <row r="107" spans="2:8" x14ac:dyDescent="0.25">
      <c r="B107" s="8"/>
      <c r="E107" s="11"/>
      <c r="F107" s="11"/>
      <c r="H107" s="3"/>
    </row>
    <row r="108" spans="2:8" x14ac:dyDescent="0.25">
      <c r="B108" s="8"/>
      <c r="E108" s="11"/>
      <c r="F108" s="11"/>
      <c r="H108" s="3"/>
    </row>
    <row r="109" spans="2:8" x14ac:dyDescent="0.25">
      <c r="B109" s="8"/>
      <c r="E109" s="11"/>
      <c r="F109" s="11"/>
      <c r="H109" s="3"/>
    </row>
    <row r="110" spans="2:8" x14ac:dyDescent="0.25">
      <c r="B110" s="8"/>
      <c r="E110" s="11"/>
      <c r="F110" s="11"/>
      <c r="H110" s="3"/>
    </row>
    <row r="111" spans="2:8" x14ac:dyDescent="0.25">
      <c r="B111" s="8"/>
      <c r="E111" s="11"/>
      <c r="F111" s="11"/>
      <c r="H111" s="3"/>
    </row>
    <row r="112" spans="2:8" x14ac:dyDescent="0.25">
      <c r="B112" s="8"/>
      <c r="E112" s="11"/>
      <c r="F112" s="11"/>
      <c r="H112" s="3"/>
    </row>
    <row r="113" spans="2:8" x14ac:dyDescent="0.25">
      <c r="B113" s="8"/>
      <c r="E113" s="11"/>
      <c r="F113" s="11"/>
      <c r="H113" s="3"/>
    </row>
    <row r="114" spans="2:8" x14ac:dyDescent="0.25">
      <c r="B114" s="8"/>
      <c r="E114" s="11"/>
      <c r="F114" s="11"/>
      <c r="H114" s="3"/>
    </row>
    <row r="115" spans="2:8" x14ac:dyDescent="0.25">
      <c r="B115" s="8"/>
      <c r="E115" s="11"/>
      <c r="F115" s="11"/>
      <c r="H115" s="3"/>
    </row>
    <row r="116" spans="2:8" x14ac:dyDescent="0.25">
      <c r="B116" s="8"/>
      <c r="E116" s="11"/>
      <c r="F116" s="11"/>
      <c r="H116" s="3"/>
    </row>
    <row r="117" spans="2:8" x14ac:dyDescent="0.25">
      <c r="B117" s="8"/>
      <c r="E117" s="11"/>
      <c r="F117" s="11"/>
      <c r="H117" s="3"/>
    </row>
    <row r="118" spans="2:8" x14ac:dyDescent="0.25">
      <c r="B118" s="8"/>
      <c r="E118" s="11"/>
      <c r="F118" s="11"/>
      <c r="H118" s="3"/>
    </row>
    <row r="119" spans="2:8" x14ac:dyDescent="0.25">
      <c r="B119" s="8"/>
      <c r="E119" s="11"/>
      <c r="F119" s="11"/>
      <c r="H119" s="3"/>
    </row>
    <row r="120" spans="2:8" x14ac:dyDescent="0.25">
      <c r="B120" s="8"/>
      <c r="E120" s="11"/>
      <c r="F120" s="11"/>
      <c r="H120" s="3"/>
    </row>
    <row r="121" spans="2:8" x14ac:dyDescent="0.25">
      <c r="B121" s="8"/>
      <c r="E121" s="11"/>
      <c r="F121" s="11"/>
      <c r="H121" s="3"/>
    </row>
    <row r="122" spans="2:8" x14ac:dyDescent="0.25">
      <c r="B122" s="8"/>
      <c r="E122" s="11"/>
      <c r="F122" s="11"/>
      <c r="H122" s="3"/>
    </row>
    <row r="123" spans="2:8" x14ac:dyDescent="0.25">
      <c r="B123" s="8"/>
      <c r="E123" s="11"/>
      <c r="F123" s="11"/>
      <c r="H123" s="3"/>
    </row>
    <row r="124" spans="2:8" x14ac:dyDescent="0.25">
      <c r="B124" s="8"/>
      <c r="E124" s="11"/>
      <c r="F124" s="11"/>
      <c r="H124" s="3"/>
    </row>
    <row r="125" spans="2:8" x14ac:dyDescent="0.25">
      <c r="B125" s="8"/>
      <c r="E125" s="11"/>
      <c r="F125" s="11"/>
      <c r="H125" s="3"/>
    </row>
    <row r="126" spans="2:8" x14ac:dyDescent="0.25">
      <c r="B126" s="8"/>
      <c r="E126" s="11"/>
      <c r="F126" s="11"/>
      <c r="H126" s="3"/>
    </row>
    <row r="127" spans="2:8" x14ac:dyDescent="0.25">
      <c r="B127" s="8"/>
      <c r="E127" s="11"/>
      <c r="F127" s="11"/>
      <c r="H127" s="3"/>
    </row>
    <row r="128" spans="2:8" x14ac:dyDescent="0.25">
      <c r="B128" s="8"/>
      <c r="E128" s="11"/>
      <c r="F128" s="11"/>
      <c r="H128" s="3"/>
    </row>
    <row r="129" spans="2:8" x14ac:dyDescent="0.25">
      <c r="B129" s="8"/>
      <c r="E129" s="11"/>
      <c r="F129" s="11"/>
      <c r="H129" s="3"/>
    </row>
    <row r="130" spans="2:8" x14ac:dyDescent="0.25">
      <c r="B130" s="8"/>
      <c r="E130" s="11"/>
      <c r="F130" s="11"/>
      <c r="H130" s="3"/>
    </row>
    <row r="131" spans="2:8" x14ac:dyDescent="0.25">
      <c r="B131" s="8"/>
      <c r="E131" s="11"/>
      <c r="F131" s="11"/>
      <c r="H131" s="3"/>
    </row>
    <row r="132" spans="2:8" x14ac:dyDescent="0.25">
      <c r="B132" s="8"/>
      <c r="E132" s="11"/>
      <c r="F132" s="11"/>
      <c r="H132" s="3"/>
    </row>
    <row r="133" spans="2:8" x14ac:dyDescent="0.25">
      <c r="B133" s="8"/>
      <c r="E133" s="11"/>
      <c r="F133" s="11"/>
      <c r="H133" s="3"/>
    </row>
    <row r="134" spans="2:8" x14ac:dyDescent="0.25">
      <c r="B134" s="8"/>
      <c r="E134" s="11"/>
      <c r="F134" s="11"/>
      <c r="H134" s="3"/>
    </row>
    <row r="135" spans="2:8" x14ac:dyDescent="0.25">
      <c r="B135" s="8"/>
      <c r="E135" s="11"/>
      <c r="F135" s="11"/>
      <c r="H135" s="3"/>
    </row>
    <row r="136" spans="2:8" x14ac:dyDescent="0.25">
      <c r="B136" s="8"/>
      <c r="E136" s="11"/>
      <c r="F136" s="11"/>
      <c r="H136" s="3"/>
    </row>
    <row r="137" spans="2:8" x14ac:dyDescent="0.25">
      <c r="B137" s="8"/>
      <c r="E137" s="11"/>
      <c r="F137" s="11"/>
      <c r="H137" s="3"/>
    </row>
    <row r="138" spans="2:8" x14ac:dyDescent="0.25">
      <c r="B138" s="8"/>
      <c r="E138" s="11"/>
      <c r="F138" s="11"/>
      <c r="H138" s="3"/>
    </row>
    <row r="139" spans="2:8" x14ac:dyDescent="0.25">
      <c r="B139" s="8"/>
      <c r="E139" s="11"/>
      <c r="F139" s="11"/>
      <c r="H139" s="3"/>
    </row>
    <row r="140" spans="2:8" x14ac:dyDescent="0.25">
      <c r="B140" s="8"/>
      <c r="E140" s="11"/>
      <c r="F140" s="11"/>
      <c r="H140" s="3"/>
    </row>
    <row r="141" spans="2:8" x14ac:dyDescent="0.25">
      <c r="B141" s="8"/>
      <c r="E141" s="11"/>
      <c r="F141" s="11"/>
      <c r="H141" s="3"/>
    </row>
    <row r="142" spans="2:8" x14ac:dyDescent="0.25">
      <c r="B142" s="8"/>
      <c r="E142" s="11"/>
      <c r="F142" s="11"/>
      <c r="H142" s="3"/>
    </row>
    <row r="143" spans="2:8" x14ac:dyDescent="0.25">
      <c r="B143" s="8"/>
      <c r="E143" s="11"/>
      <c r="F143" s="11"/>
      <c r="H143" s="3"/>
    </row>
    <row r="144" spans="2:8" x14ac:dyDescent="0.25">
      <c r="B144" s="8"/>
      <c r="E144" s="11"/>
      <c r="F144" s="11"/>
      <c r="H144" s="3"/>
    </row>
    <row r="145" spans="2:8" x14ac:dyDescent="0.25">
      <c r="B145" s="8"/>
      <c r="E145" s="11"/>
      <c r="F145" s="11"/>
      <c r="H145" s="3"/>
    </row>
    <row r="146" spans="2:8" x14ac:dyDescent="0.25">
      <c r="B146" s="8"/>
      <c r="E146" s="11"/>
      <c r="F146" s="11"/>
      <c r="H146" s="3"/>
    </row>
    <row r="147" spans="2:8" x14ac:dyDescent="0.25">
      <c r="B147" s="8"/>
      <c r="E147" s="11"/>
      <c r="F147" s="11"/>
      <c r="H147" s="3"/>
    </row>
    <row r="148" spans="2:8" x14ac:dyDescent="0.25">
      <c r="B148" s="8"/>
      <c r="E148" s="11"/>
      <c r="F148" s="11"/>
      <c r="H148" s="3"/>
    </row>
    <row r="149" spans="2:8" x14ac:dyDescent="0.25">
      <c r="B149" s="8"/>
      <c r="E149" s="11"/>
      <c r="F149" s="11"/>
      <c r="H149" s="3"/>
    </row>
    <row r="150" spans="2:8" x14ac:dyDescent="0.25">
      <c r="B150" s="8"/>
      <c r="E150" s="11"/>
      <c r="F150" s="11"/>
      <c r="H150" s="3"/>
    </row>
    <row r="151" spans="2:8" x14ac:dyDescent="0.25">
      <c r="B151" s="8"/>
      <c r="E151" s="11"/>
      <c r="F151" s="11"/>
      <c r="H151" s="3"/>
    </row>
    <row r="152" spans="2:8" x14ac:dyDescent="0.25">
      <c r="B152" s="8"/>
      <c r="E152" s="11"/>
      <c r="F152" s="11"/>
      <c r="H152" s="3"/>
    </row>
    <row r="153" spans="2:8" x14ac:dyDescent="0.25">
      <c r="B153" s="8"/>
      <c r="E153" s="11"/>
      <c r="F153" s="11"/>
      <c r="H153" s="3"/>
    </row>
    <row r="154" spans="2:8" x14ac:dyDescent="0.25">
      <c r="B154" s="8"/>
      <c r="E154" s="11"/>
      <c r="F154" s="11"/>
      <c r="H154" s="3"/>
    </row>
    <row r="155" spans="2:8" x14ac:dyDescent="0.25">
      <c r="B155" s="8"/>
      <c r="E155" s="11"/>
      <c r="F155" s="11"/>
      <c r="H155" s="3"/>
    </row>
    <row r="156" spans="2:8" x14ac:dyDescent="0.25">
      <c r="B156" s="8"/>
      <c r="E156" s="11"/>
      <c r="F156" s="11"/>
      <c r="H156" s="3"/>
    </row>
    <row r="157" spans="2:8" x14ac:dyDescent="0.25">
      <c r="B157" s="8"/>
      <c r="E157" s="11"/>
      <c r="F157" s="11"/>
      <c r="H157" s="3"/>
    </row>
    <row r="158" spans="2:8" x14ac:dyDescent="0.25">
      <c r="B158" s="8"/>
      <c r="E158" s="11"/>
      <c r="F158" s="11"/>
      <c r="H158" s="3"/>
    </row>
    <row r="159" spans="2:8" x14ac:dyDescent="0.25">
      <c r="B159" s="8"/>
      <c r="E159" s="11"/>
      <c r="F159" s="11"/>
      <c r="H159" s="3"/>
    </row>
    <row r="160" spans="2:8" x14ac:dyDescent="0.25">
      <c r="B160" s="8"/>
      <c r="E160" s="11"/>
      <c r="F160" s="11"/>
      <c r="H160" s="3"/>
    </row>
    <row r="161" spans="2:8" x14ac:dyDescent="0.25">
      <c r="B161" s="8"/>
      <c r="E161" s="11"/>
      <c r="F161" s="11"/>
      <c r="H161" s="3"/>
    </row>
    <row r="162" spans="2:8" x14ac:dyDescent="0.25">
      <c r="B162" s="8"/>
      <c r="E162" s="11"/>
      <c r="F162" s="11"/>
      <c r="H162" s="3"/>
    </row>
    <row r="163" spans="2:8" x14ac:dyDescent="0.25">
      <c r="B163" s="8"/>
      <c r="E163" s="11"/>
      <c r="F163" s="11"/>
      <c r="H163" s="3"/>
    </row>
    <row r="164" spans="2:8" x14ac:dyDescent="0.25">
      <c r="B164" s="8"/>
      <c r="E164" s="11"/>
      <c r="F164" s="11"/>
      <c r="H164" s="3"/>
    </row>
    <row r="165" spans="2:8" x14ac:dyDescent="0.25">
      <c r="B165" s="8"/>
      <c r="E165" s="11"/>
      <c r="F165" s="11"/>
      <c r="H165" s="3"/>
    </row>
    <row r="166" spans="2:8" x14ac:dyDescent="0.25">
      <c r="B166" s="8"/>
      <c r="E166" s="11"/>
      <c r="F166" s="11"/>
      <c r="H166" s="3"/>
    </row>
    <row r="167" spans="2:8" x14ac:dyDescent="0.25">
      <c r="B167" s="8"/>
      <c r="E167" s="11"/>
      <c r="F167" s="11"/>
      <c r="H167" s="3"/>
    </row>
    <row r="168" spans="2:8" x14ac:dyDescent="0.25">
      <c r="B168" s="8"/>
      <c r="E168" s="11"/>
      <c r="F168" s="11"/>
      <c r="H168" s="3"/>
    </row>
    <row r="169" spans="2:8" x14ac:dyDescent="0.25">
      <c r="B169" s="8"/>
      <c r="E169" s="11"/>
      <c r="F169" s="11"/>
      <c r="H169" s="3"/>
    </row>
    <row r="170" spans="2:8" x14ac:dyDescent="0.25">
      <c r="B170" s="8"/>
      <c r="E170" s="11"/>
      <c r="F170" s="11"/>
      <c r="H170" s="3"/>
    </row>
    <row r="171" spans="2:8" x14ac:dyDescent="0.25">
      <c r="B171" s="8"/>
      <c r="E171" s="11"/>
      <c r="F171" s="11"/>
      <c r="H171" s="3"/>
    </row>
    <row r="172" spans="2:8" x14ac:dyDescent="0.25">
      <c r="B172" s="8"/>
      <c r="E172" s="11"/>
      <c r="F172" s="11"/>
      <c r="H172" s="3"/>
    </row>
    <row r="173" spans="2:8" x14ac:dyDescent="0.25">
      <c r="B173" s="8"/>
      <c r="E173" s="11"/>
      <c r="F173" s="11"/>
      <c r="H173" s="3"/>
    </row>
    <row r="174" spans="2:8" x14ac:dyDescent="0.25">
      <c r="B174" s="8"/>
      <c r="E174" s="11"/>
      <c r="F174" s="11"/>
      <c r="H174" s="3"/>
    </row>
    <row r="175" spans="2:8" x14ac:dyDescent="0.25">
      <c r="B175" s="8"/>
      <c r="E175" s="11"/>
      <c r="F175" s="11"/>
      <c r="H175" s="3"/>
    </row>
    <row r="176" spans="2:8" x14ac:dyDescent="0.25">
      <c r="B176" s="8"/>
      <c r="E176" s="11"/>
      <c r="F176" s="11"/>
      <c r="H176" s="3"/>
    </row>
    <row r="177" spans="2:8" x14ac:dyDescent="0.25">
      <c r="B177" s="8"/>
      <c r="E177" s="11"/>
      <c r="F177" s="11"/>
      <c r="H177" s="3"/>
    </row>
    <row r="178" spans="2:8" x14ac:dyDescent="0.25">
      <c r="B178" s="8"/>
      <c r="E178" s="11"/>
      <c r="F178" s="11"/>
      <c r="H178" s="3"/>
    </row>
    <row r="179" spans="2:8" x14ac:dyDescent="0.25">
      <c r="B179" s="8"/>
      <c r="E179" s="11"/>
      <c r="F179" s="11"/>
      <c r="H179" s="3"/>
    </row>
    <row r="180" spans="2:8" x14ac:dyDescent="0.25">
      <c r="B180" s="8"/>
      <c r="E180" s="11"/>
      <c r="F180" s="11"/>
      <c r="H180" s="3"/>
    </row>
    <row r="181" spans="2:8" x14ac:dyDescent="0.25">
      <c r="B181" s="8"/>
      <c r="E181" s="11"/>
      <c r="F181" s="11"/>
      <c r="H181" s="3"/>
    </row>
    <row r="182" spans="2:8" x14ac:dyDescent="0.25">
      <c r="B182" s="8"/>
      <c r="E182" s="11"/>
      <c r="F182" s="11"/>
      <c r="H182" s="3"/>
    </row>
    <row r="183" spans="2:8" x14ac:dyDescent="0.25">
      <c r="B183" s="8"/>
      <c r="E183" s="11"/>
      <c r="F183" s="11"/>
      <c r="H183" s="3"/>
    </row>
    <row r="184" spans="2:8" x14ac:dyDescent="0.25">
      <c r="B184" s="8"/>
      <c r="E184" s="11"/>
      <c r="F184" s="11"/>
      <c r="H184" s="3"/>
    </row>
    <row r="185" spans="2:8" x14ac:dyDescent="0.25">
      <c r="B185" s="8"/>
      <c r="E185" s="11"/>
      <c r="F185" s="11"/>
      <c r="H185" s="3"/>
    </row>
    <row r="186" spans="2:8" x14ac:dyDescent="0.25">
      <c r="B186" s="8"/>
      <c r="E186" s="11"/>
      <c r="F186" s="11"/>
      <c r="H186" s="3"/>
    </row>
    <row r="187" spans="2:8" x14ac:dyDescent="0.25">
      <c r="B187" s="8"/>
      <c r="E187" s="11"/>
      <c r="F187" s="11"/>
      <c r="H187" s="3"/>
    </row>
    <row r="188" spans="2:8" x14ac:dyDescent="0.25">
      <c r="B188" s="8"/>
      <c r="E188" s="11"/>
      <c r="F188" s="11"/>
      <c r="H188" s="3"/>
    </row>
    <row r="189" spans="2:8" x14ac:dyDescent="0.25">
      <c r="B189" s="8"/>
      <c r="E189" s="11"/>
      <c r="F189" s="11"/>
      <c r="H189" s="3"/>
    </row>
    <row r="190" spans="2:8" x14ac:dyDescent="0.25">
      <c r="B190" s="8"/>
      <c r="E190" s="11"/>
      <c r="F190" s="11"/>
      <c r="H190" s="3"/>
    </row>
    <row r="191" spans="2:8" x14ac:dyDescent="0.25">
      <c r="B191" s="8"/>
      <c r="E191" s="11"/>
      <c r="F191" s="11"/>
      <c r="H191" s="3"/>
    </row>
    <row r="192" spans="2:8" x14ac:dyDescent="0.25">
      <c r="B192" s="8"/>
      <c r="E192" s="11"/>
      <c r="F192" s="11"/>
      <c r="H192" s="3"/>
    </row>
    <row r="193" spans="2:8" x14ac:dyDescent="0.25">
      <c r="B193" s="8"/>
      <c r="E193" s="11"/>
      <c r="F193" s="11"/>
      <c r="H193" s="3"/>
    </row>
    <row r="194" spans="2:8" x14ac:dyDescent="0.25">
      <c r="B194" s="8"/>
      <c r="E194" s="11"/>
      <c r="F194" s="11"/>
      <c r="H194" s="3"/>
    </row>
    <row r="195" spans="2:8" x14ac:dyDescent="0.25">
      <c r="B195" s="8"/>
      <c r="E195" s="11"/>
      <c r="F195" s="11"/>
      <c r="H195" s="3"/>
    </row>
    <row r="196" spans="2:8" x14ac:dyDescent="0.25">
      <c r="B196" s="8"/>
      <c r="E196" s="11"/>
      <c r="F196" s="11"/>
      <c r="H196" s="3"/>
    </row>
    <row r="197" spans="2:8" x14ac:dyDescent="0.25">
      <c r="B197" s="8"/>
      <c r="E197" s="11"/>
      <c r="F197" s="11"/>
      <c r="H197" s="3"/>
    </row>
    <row r="198" spans="2:8" x14ac:dyDescent="0.25">
      <c r="B198" s="8"/>
      <c r="E198" s="11"/>
      <c r="F198" s="11"/>
      <c r="H198" s="3"/>
    </row>
    <row r="199" spans="2:8" x14ac:dyDescent="0.25">
      <c r="B199" s="8"/>
      <c r="E199" s="11"/>
      <c r="F199" s="11"/>
      <c r="H199" s="3"/>
    </row>
    <row r="200" spans="2:8" x14ac:dyDescent="0.25">
      <c r="B200" s="8"/>
      <c r="E200" s="11"/>
      <c r="F200" s="11"/>
      <c r="H200" s="3"/>
    </row>
    <row r="201" spans="2:8" x14ac:dyDescent="0.25">
      <c r="B201" s="8"/>
      <c r="E201" s="11"/>
      <c r="F201" s="11"/>
      <c r="H201" s="3"/>
    </row>
    <row r="202" spans="2:8" x14ac:dyDescent="0.25">
      <c r="B202" s="8"/>
      <c r="E202" s="11"/>
      <c r="F202" s="11"/>
      <c r="H202" s="3"/>
    </row>
    <row r="203" spans="2:8" x14ac:dyDescent="0.25">
      <c r="B203" s="8"/>
      <c r="E203" s="11"/>
      <c r="F203" s="11"/>
      <c r="H203" s="3"/>
    </row>
    <row r="204" spans="2:8" x14ac:dyDescent="0.25">
      <c r="B204" s="8"/>
      <c r="E204" s="11"/>
      <c r="F204" s="11"/>
      <c r="H204" s="3"/>
    </row>
    <row r="205" spans="2:8" x14ac:dyDescent="0.25">
      <c r="B205" s="8"/>
      <c r="E205" s="11"/>
      <c r="F205" s="11"/>
      <c r="H205" s="3"/>
    </row>
    <row r="206" spans="2:8" x14ac:dyDescent="0.25">
      <c r="B206" s="8"/>
      <c r="E206" s="11"/>
      <c r="F206" s="11"/>
      <c r="H206" s="3"/>
    </row>
    <row r="207" spans="2:8" x14ac:dyDescent="0.25">
      <c r="B207" s="8"/>
      <c r="E207" s="11"/>
      <c r="F207" s="11"/>
      <c r="H207" s="3"/>
    </row>
    <row r="208" spans="2:8" x14ac:dyDescent="0.25">
      <c r="B208" s="8"/>
      <c r="E208" s="11"/>
      <c r="F208" s="11"/>
      <c r="H208" s="3"/>
    </row>
    <row r="209" spans="2:8" x14ac:dyDescent="0.25">
      <c r="B209" s="8"/>
      <c r="E209" s="11"/>
      <c r="F209" s="11"/>
      <c r="H209" s="3"/>
    </row>
    <row r="210" spans="2:8" x14ac:dyDescent="0.25">
      <c r="B210" s="8"/>
      <c r="E210" s="11"/>
      <c r="F210" s="11"/>
      <c r="H210" s="3"/>
    </row>
    <row r="211" spans="2:8" x14ac:dyDescent="0.25">
      <c r="B211" s="8"/>
      <c r="E211" s="11"/>
      <c r="F211" s="11"/>
      <c r="H211" s="3"/>
    </row>
    <row r="212" spans="2:8" x14ac:dyDescent="0.25">
      <c r="B212" s="8"/>
      <c r="E212" s="11"/>
      <c r="F212" s="11"/>
      <c r="H212" s="3"/>
    </row>
    <row r="213" spans="2:8" x14ac:dyDescent="0.25">
      <c r="B213" s="8"/>
      <c r="E213" s="11"/>
      <c r="F213" s="11"/>
      <c r="H213" s="3"/>
    </row>
    <row r="214" spans="2:8" x14ac:dyDescent="0.25">
      <c r="B214" s="8"/>
      <c r="E214" s="11"/>
      <c r="F214" s="11"/>
      <c r="H214" s="3"/>
    </row>
    <row r="215" spans="2:8" x14ac:dyDescent="0.25">
      <c r="B215" s="8"/>
      <c r="E215" s="11"/>
      <c r="F215" s="11"/>
      <c r="H215" s="3"/>
    </row>
    <row r="216" spans="2:8" x14ac:dyDescent="0.25">
      <c r="B216" s="8"/>
      <c r="E216" s="11"/>
      <c r="F216" s="11"/>
      <c r="H216" s="3"/>
    </row>
    <row r="217" spans="2:8" x14ac:dyDescent="0.25">
      <c r="B217" s="8"/>
      <c r="E217" s="11"/>
      <c r="F217" s="11"/>
      <c r="H217" s="3"/>
    </row>
    <row r="218" spans="2:8" x14ac:dyDescent="0.25">
      <c r="B218" s="8"/>
      <c r="E218" s="11"/>
      <c r="F218" s="11"/>
      <c r="H218" s="3"/>
    </row>
    <row r="219" spans="2:8" x14ac:dyDescent="0.25">
      <c r="B219" s="8"/>
      <c r="E219" s="11"/>
      <c r="F219" s="11"/>
      <c r="H219" s="3"/>
    </row>
    <row r="220" spans="2:8" x14ac:dyDescent="0.25">
      <c r="B220" s="8"/>
      <c r="E220" s="11"/>
      <c r="F220" s="11"/>
      <c r="H220" s="3"/>
    </row>
    <row r="221" spans="2:8" x14ac:dyDescent="0.25">
      <c r="B221" s="8"/>
      <c r="E221" s="11"/>
      <c r="F221" s="11"/>
      <c r="H221" s="3"/>
    </row>
    <row r="222" spans="2:8" x14ac:dyDescent="0.25">
      <c r="B222" s="8"/>
      <c r="E222" s="11"/>
      <c r="F222" s="11"/>
      <c r="H222" s="3"/>
    </row>
    <row r="223" spans="2:8" x14ac:dyDescent="0.25">
      <c r="B223" s="8"/>
      <c r="E223" s="11"/>
      <c r="F223" s="11"/>
      <c r="H223" s="3"/>
    </row>
    <row r="224" spans="2:8" x14ac:dyDescent="0.25">
      <c r="B224" s="8"/>
      <c r="E224" s="11"/>
      <c r="F224" s="11"/>
      <c r="H224" s="3"/>
    </row>
    <row r="225" spans="2:8" x14ac:dyDescent="0.25">
      <c r="B225" s="8"/>
      <c r="E225" s="11"/>
      <c r="F225" s="11"/>
      <c r="H225" s="3"/>
    </row>
    <row r="226" spans="2:8" x14ac:dyDescent="0.25">
      <c r="B226" s="8"/>
      <c r="E226" s="11"/>
      <c r="F226" s="11"/>
      <c r="H226" s="3"/>
    </row>
    <row r="227" spans="2:8" x14ac:dyDescent="0.25">
      <c r="B227" s="8"/>
      <c r="E227" s="11"/>
      <c r="F227" s="11"/>
      <c r="H227" s="3"/>
    </row>
    <row r="228" spans="2:8" x14ac:dyDescent="0.25">
      <c r="B228" s="8"/>
      <c r="E228" s="11"/>
      <c r="F228" s="11"/>
      <c r="H228" s="3"/>
    </row>
    <row r="229" spans="2:8" x14ac:dyDescent="0.25">
      <c r="B229" s="8"/>
      <c r="E229" s="11"/>
      <c r="F229" s="11"/>
      <c r="H229" s="3"/>
    </row>
    <row r="230" spans="2:8" x14ac:dyDescent="0.25">
      <c r="B230" s="8"/>
      <c r="E230" s="11"/>
      <c r="F230" s="11"/>
      <c r="H230" s="3"/>
    </row>
    <row r="231" spans="2:8" x14ac:dyDescent="0.25">
      <c r="B231" s="8"/>
      <c r="E231" s="11"/>
      <c r="F231" s="11"/>
      <c r="H231" s="3"/>
    </row>
    <row r="232" spans="2:8" x14ac:dyDescent="0.25">
      <c r="B232" s="8"/>
      <c r="E232" s="11"/>
      <c r="F232" s="11"/>
      <c r="H232" s="3"/>
    </row>
    <row r="233" spans="2:8" x14ac:dyDescent="0.25">
      <c r="B233" s="8"/>
      <c r="E233" s="11"/>
      <c r="F233" s="11"/>
      <c r="H233" s="3"/>
    </row>
    <row r="234" spans="2:8" x14ac:dyDescent="0.25">
      <c r="B234" s="8"/>
      <c r="E234" s="11"/>
      <c r="F234" s="11"/>
      <c r="H234" s="3"/>
    </row>
    <row r="235" spans="2:8" x14ac:dyDescent="0.25">
      <c r="B235" s="8"/>
      <c r="E235" s="11"/>
      <c r="F235" s="11"/>
      <c r="H235" s="3"/>
    </row>
    <row r="236" spans="2:8" x14ac:dyDescent="0.25">
      <c r="B236" s="8"/>
      <c r="E236" s="11"/>
      <c r="F236" s="11"/>
      <c r="H236" s="3"/>
    </row>
    <row r="237" spans="2:8" x14ac:dyDescent="0.25">
      <c r="B237" s="8"/>
      <c r="E237" s="11"/>
      <c r="F237" s="11"/>
      <c r="H237" s="3"/>
    </row>
    <row r="238" spans="2:8" x14ac:dyDescent="0.25">
      <c r="B238" s="8"/>
      <c r="E238" s="11"/>
      <c r="F238" s="11"/>
      <c r="H238" s="3"/>
    </row>
    <row r="239" spans="2:8" x14ac:dyDescent="0.25">
      <c r="B239" s="8"/>
      <c r="E239" s="11"/>
      <c r="F239" s="11"/>
      <c r="H239" s="3"/>
    </row>
    <row r="240" spans="2:8" x14ac:dyDescent="0.25">
      <c r="B240" s="8"/>
      <c r="E240" s="11"/>
      <c r="F240" s="11"/>
      <c r="H240" s="3"/>
    </row>
    <row r="241" spans="2:8" x14ac:dyDescent="0.25">
      <c r="B241" s="8"/>
      <c r="E241" s="11"/>
      <c r="F241" s="11"/>
      <c r="H241" s="3"/>
    </row>
    <row r="242" spans="2:8" x14ac:dyDescent="0.25">
      <c r="B242" s="8"/>
      <c r="E242" s="11"/>
      <c r="F242" s="11"/>
      <c r="H242" s="3"/>
    </row>
    <row r="243" spans="2:8" x14ac:dyDescent="0.25">
      <c r="B243" s="8"/>
      <c r="E243" s="11"/>
      <c r="F243" s="11"/>
      <c r="H243" s="3"/>
    </row>
    <row r="244" spans="2:8" x14ac:dyDescent="0.25">
      <c r="B244" s="8"/>
      <c r="E244" s="11"/>
      <c r="F244" s="11"/>
      <c r="H244" s="3"/>
    </row>
    <row r="245" spans="2:8" x14ac:dyDescent="0.25">
      <c r="B245" s="8"/>
      <c r="E245" s="11"/>
      <c r="F245" s="11"/>
      <c r="H245" s="3"/>
    </row>
    <row r="246" spans="2:8" x14ac:dyDescent="0.25">
      <c r="B246" s="8"/>
      <c r="E246" s="11"/>
      <c r="F246" s="11"/>
      <c r="H246" s="3"/>
    </row>
    <row r="247" spans="2:8" x14ac:dyDescent="0.25">
      <c r="B247" s="8"/>
      <c r="E247" s="11"/>
      <c r="F247" s="11"/>
      <c r="H247" s="3"/>
    </row>
    <row r="248" spans="2:8" x14ac:dyDescent="0.25">
      <c r="B248" s="8"/>
      <c r="E248" s="11"/>
      <c r="F248" s="11"/>
      <c r="H248" s="3"/>
    </row>
    <row r="249" spans="2:8" x14ac:dyDescent="0.25">
      <c r="B249" s="8"/>
      <c r="E249" s="11"/>
      <c r="F249" s="11"/>
      <c r="H249" s="3"/>
    </row>
    <row r="250" spans="2:8" x14ac:dyDescent="0.25">
      <c r="B250" s="8"/>
      <c r="E250" s="11"/>
      <c r="F250" s="11"/>
      <c r="H250" s="3"/>
    </row>
    <row r="251" spans="2:8" x14ac:dyDescent="0.25">
      <c r="B251" s="8"/>
      <c r="E251" s="11"/>
      <c r="F251" s="11"/>
      <c r="H251" s="3"/>
    </row>
    <row r="252" spans="2:8" x14ac:dyDescent="0.25">
      <c r="B252" s="8"/>
      <c r="E252" s="11"/>
      <c r="F252" s="11"/>
      <c r="H252" s="3"/>
    </row>
    <row r="253" spans="2:8" x14ac:dyDescent="0.25">
      <c r="B253" s="8"/>
      <c r="E253" s="11"/>
      <c r="F253" s="11"/>
      <c r="H253" s="3"/>
    </row>
    <row r="254" spans="2:8" x14ac:dyDescent="0.25">
      <c r="B254" s="8"/>
      <c r="E254" s="11"/>
      <c r="F254" s="11"/>
      <c r="H254" s="3"/>
    </row>
    <row r="255" spans="2:8" x14ac:dyDescent="0.25">
      <c r="B255" s="8"/>
      <c r="E255" s="11"/>
      <c r="F255" s="11"/>
      <c r="H255" s="3"/>
    </row>
    <row r="256" spans="2:8" x14ac:dyDescent="0.25">
      <c r="B256" s="8"/>
      <c r="E256" s="11"/>
      <c r="F256" s="11"/>
      <c r="H256" s="3"/>
    </row>
    <row r="257" spans="2:8" x14ac:dyDescent="0.25">
      <c r="B257" s="8"/>
      <c r="E257" s="11"/>
      <c r="F257" s="11"/>
      <c r="H257" s="3"/>
    </row>
    <row r="258" spans="2:8" x14ac:dyDescent="0.25">
      <c r="B258" s="8"/>
      <c r="E258" s="11"/>
      <c r="F258" s="11"/>
      <c r="H258" s="3"/>
    </row>
    <row r="259" spans="2:8" x14ac:dyDescent="0.25">
      <c r="B259" s="8"/>
      <c r="E259" s="11"/>
      <c r="F259" s="11"/>
      <c r="H259" s="3"/>
    </row>
    <row r="260" spans="2:8" x14ac:dyDescent="0.25">
      <c r="B260" s="8"/>
      <c r="E260" s="11"/>
      <c r="F260" s="11"/>
      <c r="H260" s="3"/>
    </row>
    <row r="261" spans="2:8" x14ac:dyDescent="0.25">
      <c r="B261" s="8"/>
      <c r="E261" s="11"/>
      <c r="F261" s="11"/>
      <c r="H261" s="3"/>
    </row>
    <row r="262" spans="2:8" x14ac:dyDescent="0.25">
      <c r="B262" s="8"/>
      <c r="E262" s="11"/>
      <c r="F262" s="11"/>
      <c r="H262" s="3"/>
    </row>
    <row r="263" spans="2:8" x14ac:dyDescent="0.25">
      <c r="B263" s="8"/>
      <c r="E263" s="11"/>
      <c r="F263" s="11"/>
      <c r="H263" s="3"/>
    </row>
    <row r="264" spans="2:8" x14ac:dyDescent="0.25">
      <c r="B264" s="8"/>
      <c r="E264" s="11"/>
      <c r="F264" s="11"/>
      <c r="H264" s="3"/>
    </row>
    <row r="265" spans="2:8" x14ac:dyDescent="0.25">
      <c r="B265" s="8"/>
      <c r="E265" s="11"/>
      <c r="F265" s="11"/>
      <c r="H265" s="3"/>
    </row>
    <row r="266" spans="2:8" x14ac:dyDescent="0.25">
      <c r="B266" s="8"/>
      <c r="E266" s="11"/>
      <c r="F266" s="11"/>
      <c r="H266" s="3"/>
    </row>
    <row r="267" spans="2:8" x14ac:dyDescent="0.25">
      <c r="B267" s="8"/>
      <c r="E267" s="11"/>
      <c r="F267" s="11"/>
      <c r="H267" s="3"/>
    </row>
    <row r="268" spans="2:8" x14ac:dyDescent="0.25">
      <c r="B268" s="8"/>
      <c r="E268" s="11"/>
      <c r="F268" s="11"/>
      <c r="H268" s="3"/>
    </row>
    <row r="269" spans="2:8" x14ac:dyDescent="0.25">
      <c r="B269" s="8"/>
      <c r="E269" s="11"/>
      <c r="F269" s="11"/>
      <c r="H269" s="3"/>
    </row>
    <row r="270" spans="2:8" x14ac:dyDescent="0.25">
      <c r="B270" s="8"/>
      <c r="E270" s="11"/>
      <c r="F270" s="11"/>
      <c r="H270" s="3"/>
    </row>
    <row r="271" spans="2:8" x14ac:dyDescent="0.25">
      <c r="B271" s="8"/>
      <c r="E271" s="11"/>
      <c r="F271" s="11"/>
      <c r="H271" s="3"/>
    </row>
    <row r="272" spans="2:8" x14ac:dyDescent="0.25">
      <c r="B272" s="8"/>
      <c r="E272" s="11"/>
      <c r="F272" s="11"/>
      <c r="H272" s="3"/>
    </row>
    <row r="273" spans="2:8" x14ac:dyDescent="0.25">
      <c r="B273" s="8"/>
      <c r="E273" s="11"/>
      <c r="F273" s="11"/>
      <c r="H273" s="3"/>
    </row>
    <row r="274" spans="2:8" x14ac:dyDescent="0.25">
      <c r="B274" s="8"/>
      <c r="E274" s="11"/>
      <c r="F274" s="11"/>
      <c r="H274" s="3"/>
    </row>
    <row r="275" spans="2:8" x14ac:dyDescent="0.25">
      <c r="B275" s="8"/>
      <c r="E275" s="11"/>
      <c r="F275" s="11"/>
      <c r="H275" s="3"/>
    </row>
    <row r="276" spans="2:8" x14ac:dyDescent="0.25">
      <c r="B276" s="8"/>
      <c r="E276" s="11"/>
      <c r="F276" s="11"/>
      <c r="H276" s="3"/>
    </row>
    <row r="277" spans="2:8" x14ac:dyDescent="0.25">
      <c r="B277" s="8"/>
      <c r="E277" s="11"/>
      <c r="F277" s="11"/>
      <c r="H277" s="3"/>
    </row>
    <row r="278" spans="2:8" x14ac:dyDescent="0.25">
      <c r="B278" s="8"/>
      <c r="E278" s="11"/>
      <c r="F278" s="11"/>
      <c r="H278" s="3"/>
    </row>
    <row r="279" spans="2:8" x14ac:dyDescent="0.25">
      <c r="B279" s="8"/>
      <c r="E279" s="11"/>
      <c r="F279" s="11"/>
      <c r="H279" s="3"/>
    </row>
    <row r="280" spans="2:8" x14ac:dyDescent="0.25">
      <c r="B280" s="8"/>
      <c r="E280" s="11"/>
      <c r="F280" s="11"/>
      <c r="H280" s="3"/>
    </row>
    <row r="281" spans="2:8" x14ac:dyDescent="0.25">
      <c r="B281" s="8"/>
      <c r="E281" s="11"/>
      <c r="F281" s="11"/>
      <c r="H281" s="3"/>
    </row>
    <row r="282" spans="2:8" x14ac:dyDescent="0.25">
      <c r="B282" s="8"/>
      <c r="E282" s="11"/>
      <c r="F282" s="11"/>
      <c r="H282" s="3"/>
    </row>
    <row r="283" spans="2:8" x14ac:dyDescent="0.25">
      <c r="B283" s="8"/>
      <c r="E283" s="11"/>
      <c r="F283" s="11"/>
      <c r="H283" s="3"/>
    </row>
    <row r="284" spans="2:8" x14ac:dyDescent="0.25">
      <c r="B284" s="8"/>
      <c r="E284" s="11"/>
      <c r="F284" s="11"/>
      <c r="H284" s="3"/>
    </row>
    <row r="285" spans="2:8" x14ac:dyDescent="0.25">
      <c r="B285" s="8"/>
      <c r="E285" s="11"/>
      <c r="F285" s="11"/>
      <c r="H285" s="3"/>
    </row>
    <row r="286" spans="2:8" x14ac:dyDescent="0.25">
      <c r="B286" s="8"/>
      <c r="E286" s="11"/>
      <c r="F286" s="11"/>
      <c r="H286" s="3"/>
    </row>
    <row r="287" spans="2:8" x14ac:dyDescent="0.25">
      <c r="B287" s="8"/>
      <c r="E287" s="11"/>
      <c r="F287" s="11"/>
      <c r="H287" s="3"/>
    </row>
    <row r="288" spans="2:8" x14ac:dyDescent="0.25">
      <c r="B288" s="8"/>
      <c r="E288" s="11"/>
      <c r="F288" s="11"/>
      <c r="H288" s="3"/>
    </row>
    <row r="289" spans="2:8" x14ac:dyDescent="0.25">
      <c r="B289" s="8"/>
      <c r="E289" s="11"/>
      <c r="F289" s="11"/>
      <c r="H289" s="3"/>
    </row>
    <row r="290" spans="2:8" x14ac:dyDescent="0.25">
      <c r="B290" s="8"/>
      <c r="E290" s="11"/>
      <c r="F290" s="11"/>
      <c r="H290" s="3"/>
    </row>
    <row r="291" spans="2:8" x14ac:dyDescent="0.25">
      <c r="B291" s="8"/>
      <c r="E291" s="11"/>
      <c r="F291" s="11"/>
      <c r="H291" s="3"/>
    </row>
    <row r="292" spans="2:8" x14ac:dyDescent="0.25">
      <c r="B292" s="8"/>
      <c r="E292" s="11"/>
      <c r="F292" s="11"/>
      <c r="H292" s="3"/>
    </row>
    <row r="293" spans="2:8" x14ac:dyDescent="0.25">
      <c r="B293" s="8"/>
      <c r="E293" s="11"/>
      <c r="F293" s="11"/>
      <c r="H293" s="3"/>
    </row>
    <row r="294" spans="2:8" x14ac:dyDescent="0.25">
      <c r="B294" s="8"/>
      <c r="E294" s="11"/>
      <c r="F294" s="11"/>
      <c r="H294" s="3"/>
    </row>
    <row r="295" spans="2:8" x14ac:dyDescent="0.25">
      <c r="B295" s="8"/>
      <c r="E295" s="11"/>
      <c r="F295" s="11"/>
      <c r="H295" s="3"/>
    </row>
    <row r="296" spans="2:8" x14ac:dyDescent="0.25">
      <c r="B296" s="8"/>
      <c r="E296" s="11"/>
      <c r="F296" s="11"/>
      <c r="H296" s="3"/>
    </row>
    <row r="297" spans="2:8" x14ac:dyDescent="0.25">
      <c r="B297" s="8"/>
      <c r="E297" s="11"/>
      <c r="F297" s="11"/>
      <c r="H297" s="3"/>
    </row>
    <row r="298" spans="2:8" x14ac:dyDescent="0.25">
      <c r="B298" s="8"/>
      <c r="E298" s="11"/>
      <c r="F298" s="11"/>
      <c r="H298" s="3"/>
    </row>
    <row r="299" spans="2:8" x14ac:dyDescent="0.25">
      <c r="B299" s="8"/>
      <c r="E299" s="11"/>
      <c r="F299" s="11"/>
      <c r="H299" s="3"/>
    </row>
    <row r="300" spans="2:8" x14ac:dyDescent="0.25">
      <c r="B300" s="8"/>
      <c r="E300" s="11"/>
      <c r="F300" s="11"/>
      <c r="H300" s="3"/>
    </row>
    <row r="301" spans="2:8" x14ac:dyDescent="0.25">
      <c r="B301" s="8"/>
      <c r="E301" s="11"/>
      <c r="F301" s="11"/>
      <c r="H301" s="3"/>
    </row>
    <row r="302" spans="2:8" x14ac:dyDescent="0.25">
      <c r="B302" s="8"/>
      <c r="E302" s="11"/>
      <c r="F302" s="11"/>
      <c r="H302" s="3"/>
    </row>
    <row r="303" spans="2:8" x14ac:dyDescent="0.25">
      <c r="B303" s="8"/>
      <c r="E303" s="11"/>
      <c r="F303" s="11"/>
      <c r="H303" s="3"/>
    </row>
    <row r="304" spans="2:8" x14ac:dyDescent="0.25">
      <c r="B304" s="8"/>
      <c r="E304" s="11"/>
      <c r="F304" s="11"/>
      <c r="H304" s="3"/>
    </row>
    <row r="305" spans="2:8" x14ac:dyDescent="0.25">
      <c r="B305" s="8"/>
      <c r="E305" s="11"/>
      <c r="F305" s="11"/>
      <c r="H305" s="3"/>
    </row>
    <row r="306" spans="2:8" x14ac:dyDescent="0.25">
      <c r="B306" s="8"/>
      <c r="E306" s="11"/>
      <c r="F306" s="11"/>
      <c r="H306" s="3"/>
    </row>
    <row r="307" spans="2:8" x14ac:dyDescent="0.25">
      <c r="B307" s="8"/>
      <c r="E307" s="11"/>
      <c r="F307" s="11"/>
      <c r="H307" s="3"/>
    </row>
    <row r="308" spans="2:8" x14ac:dyDescent="0.25">
      <c r="B308" s="8"/>
      <c r="E308" s="11"/>
      <c r="F308" s="11"/>
      <c r="H308" s="3"/>
    </row>
    <row r="309" spans="2:8" x14ac:dyDescent="0.25">
      <c r="B309" s="8"/>
      <c r="E309" s="11"/>
      <c r="F309" s="11"/>
      <c r="H309" s="3"/>
    </row>
    <row r="310" spans="2:8" x14ac:dyDescent="0.25">
      <c r="B310" s="8"/>
      <c r="E310" s="11"/>
      <c r="F310" s="11"/>
      <c r="H310" s="3"/>
    </row>
    <row r="311" spans="2:8" x14ac:dyDescent="0.25">
      <c r="B311" s="8"/>
      <c r="E311" s="11"/>
      <c r="F311" s="11"/>
      <c r="H311" s="3"/>
    </row>
    <row r="312" spans="2:8" x14ac:dyDescent="0.25">
      <c r="B312" s="8"/>
      <c r="E312" s="11"/>
      <c r="F312" s="11"/>
      <c r="H312" s="3"/>
    </row>
    <row r="313" spans="2:8" x14ac:dyDescent="0.25">
      <c r="B313" s="8"/>
      <c r="E313" s="11"/>
      <c r="F313" s="11"/>
      <c r="H313" s="3"/>
    </row>
    <row r="314" spans="2:8" x14ac:dyDescent="0.25">
      <c r="B314" s="8"/>
      <c r="E314" s="11"/>
      <c r="F314" s="11"/>
      <c r="H314" s="3"/>
    </row>
    <row r="315" spans="2:8" x14ac:dyDescent="0.25">
      <c r="B315" s="8"/>
      <c r="E315" s="11"/>
      <c r="F315" s="11"/>
      <c r="H315" s="3"/>
    </row>
    <row r="316" spans="2:8" x14ac:dyDescent="0.25">
      <c r="B316" s="8"/>
      <c r="E316" s="11"/>
      <c r="F316" s="11"/>
      <c r="H316" s="3"/>
    </row>
    <row r="317" spans="2:8" x14ac:dyDescent="0.25">
      <c r="B317" s="8"/>
      <c r="E317" s="11"/>
      <c r="F317" s="11"/>
      <c r="H317" s="3"/>
    </row>
    <row r="318" spans="2:8" x14ac:dyDescent="0.25">
      <c r="B318" s="8"/>
      <c r="E318" s="11"/>
      <c r="F318" s="11"/>
      <c r="H318" s="3"/>
    </row>
    <row r="319" spans="2:8" x14ac:dyDescent="0.25">
      <c r="B319" s="8"/>
      <c r="E319" s="11"/>
      <c r="F319" s="11"/>
      <c r="H319" s="3"/>
    </row>
    <row r="320" spans="2:8" x14ac:dyDescent="0.25">
      <c r="B320" s="8"/>
      <c r="E320" s="11"/>
      <c r="F320" s="11"/>
      <c r="H320" s="3"/>
    </row>
    <row r="321" spans="2:8" x14ac:dyDescent="0.25">
      <c r="B321" s="8"/>
      <c r="E321" s="11"/>
      <c r="F321" s="11"/>
      <c r="H321" s="3"/>
    </row>
    <row r="322" spans="2:8" x14ac:dyDescent="0.25">
      <c r="B322" s="8"/>
      <c r="E322" s="11"/>
      <c r="F322" s="11"/>
      <c r="H322" s="3"/>
    </row>
    <row r="323" spans="2:8" x14ac:dyDescent="0.25">
      <c r="B323" s="8"/>
      <c r="E323" s="11"/>
      <c r="F323" s="11"/>
      <c r="H323" s="3"/>
    </row>
    <row r="324" spans="2:8" x14ac:dyDescent="0.25">
      <c r="B324" s="8"/>
      <c r="E324" s="11"/>
      <c r="F324" s="11"/>
      <c r="H324" s="3"/>
    </row>
    <row r="325" spans="2:8" x14ac:dyDescent="0.25">
      <c r="B325" s="8"/>
      <c r="E325" s="11"/>
      <c r="F325" s="11"/>
      <c r="H325" s="3"/>
    </row>
    <row r="326" spans="2:8" x14ac:dyDescent="0.25">
      <c r="B326" s="8"/>
      <c r="E326" s="11"/>
      <c r="F326" s="11"/>
      <c r="H326" s="3"/>
    </row>
    <row r="327" spans="2:8" x14ac:dyDescent="0.25">
      <c r="B327" s="8"/>
      <c r="E327" s="11"/>
      <c r="F327" s="11"/>
      <c r="H327" s="3"/>
    </row>
    <row r="328" spans="2:8" x14ac:dyDescent="0.25">
      <c r="B328" s="8"/>
      <c r="E328" s="11"/>
      <c r="F328" s="11"/>
      <c r="H328" s="3"/>
    </row>
    <row r="329" spans="2:8" x14ac:dyDescent="0.25">
      <c r="B329" s="8"/>
      <c r="E329" s="11"/>
      <c r="F329" s="11"/>
      <c r="H329" s="3"/>
    </row>
    <row r="330" spans="2:8" x14ac:dyDescent="0.25">
      <c r="B330" s="8"/>
      <c r="E330" s="11"/>
      <c r="F330" s="11"/>
      <c r="H330" s="3"/>
    </row>
    <row r="331" spans="2:8" x14ac:dyDescent="0.25">
      <c r="B331" s="8"/>
      <c r="E331" s="11"/>
      <c r="F331" s="11"/>
      <c r="H331" s="3"/>
    </row>
    <row r="332" spans="2:8" x14ac:dyDescent="0.25">
      <c r="B332" s="8"/>
      <c r="E332" s="11"/>
      <c r="F332" s="11"/>
      <c r="H332" s="3"/>
    </row>
    <row r="333" spans="2:8" x14ac:dyDescent="0.25">
      <c r="B333" s="8"/>
      <c r="E333" s="11"/>
      <c r="F333" s="11"/>
      <c r="H333" s="3"/>
    </row>
    <row r="334" spans="2:8" x14ac:dyDescent="0.25">
      <c r="B334" s="8"/>
      <c r="E334" s="11"/>
      <c r="F334" s="11"/>
      <c r="H334" s="3"/>
    </row>
    <row r="335" spans="2:8" x14ac:dyDescent="0.25">
      <c r="B335" s="8"/>
      <c r="E335" s="11"/>
      <c r="F335" s="11"/>
      <c r="H335" s="3"/>
    </row>
    <row r="336" spans="2:8" x14ac:dyDescent="0.25">
      <c r="B336" s="8"/>
      <c r="E336" s="11"/>
      <c r="F336" s="11"/>
      <c r="H336" s="3"/>
    </row>
    <row r="337" spans="2:8" x14ac:dyDescent="0.25">
      <c r="B337" s="8"/>
      <c r="E337" s="11"/>
      <c r="F337" s="11"/>
      <c r="H337" s="3"/>
    </row>
    <row r="338" spans="2:8" x14ac:dyDescent="0.25">
      <c r="B338" s="8"/>
      <c r="E338" s="11"/>
      <c r="F338" s="11"/>
      <c r="H338" s="3"/>
    </row>
    <row r="339" spans="2:8" x14ac:dyDescent="0.25">
      <c r="B339" s="8"/>
      <c r="E339" s="11"/>
      <c r="F339" s="11"/>
      <c r="H339" s="3"/>
    </row>
    <row r="340" spans="2:8" x14ac:dyDescent="0.25">
      <c r="B340" s="8"/>
      <c r="E340" s="11"/>
      <c r="F340" s="11"/>
      <c r="H340" s="3"/>
    </row>
    <row r="341" spans="2:8" x14ac:dyDescent="0.25">
      <c r="B341" s="8"/>
      <c r="E341" s="11"/>
      <c r="F341" s="11"/>
      <c r="H341" s="3"/>
    </row>
    <row r="342" spans="2:8" x14ac:dyDescent="0.25">
      <c r="B342" s="8"/>
      <c r="E342" s="11"/>
      <c r="F342" s="11"/>
      <c r="H342" s="3"/>
    </row>
    <row r="343" spans="2:8" x14ac:dyDescent="0.25">
      <c r="B343" s="8"/>
      <c r="E343" s="11"/>
      <c r="F343" s="11"/>
      <c r="H343" s="3"/>
    </row>
    <row r="344" spans="2:8" x14ac:dyDescent="0.25">
      <c r="B344" s="8"/>
      <c r="E344" s="11"/>
      <c r="F344" s="11"/>
      <c r="H344" s="3"/>
    </row>
    <row r="345" spans="2:8" x14ac:dyDescent="0.25">
      <c r="B345" s="8"/>
      <c r="E345" s="11"/>
      <c r="F345" s="11"/>
      <c r="H345" s="3"/>
    </row>
    <row r="346" spans="2:8" x14ac:dyDescent="0.25">
      <c r="B346" s="8"/>
      <c r="E346" s="11"/>
      <c r="F346" s="11"/>
      <c r="H346" s="3"/>
    </row>
    <row r="347" spans="2:8" x14ac:dyDescent="0.25">
      <c r="B347" s="8"/>
      <c r="E347" s="11"/>
      <c r="F347" s="11"/>
      <c r="H347" s="3"/>
    </row>
    <row r="348" spans="2:8" x14ac:dyDescent="0.25">
      <c r="B348" s="8"/>
      <c r="E348" s="11"/>
      <c r="F348" s="11"/>
      <c r="H348" s="3"/>
    </row>
    <row r="349" spans="2:8" x14ac:dyDescent="0.25">
      <c r="B349" s="8"/>
      <c r="E349" s="11"/>
      <c r="F349" s="11"/>
      <c r="H349" s="3"/>
    </row>
    <row r="350" spans="2:8" x14ac:dyDescent="0.25">
      <c r="B350" s="8"/>
      <c r="E350" s="11"/>
      <c r="F350" s="11"/>
      <c r="H350" s="3"/>
    </row>
    <row r="351" spans="2:8" x14ac:dyDescent="0.25">
      <c r="B351" s="8"/>
      <c r="E351" s="11"/>
      <c r="F351" s="11"/>
      <c r="H351" s="3"/>
    </row>
    <row r="352" spans="2:8" x14ac:dyDescent="0.25">
      <c r="B352" s="8"/>
      <c r="E352" s="11"/>
      <c r="F352" s="11"/>
      <c r="H352" s="3"/>
    </row>
    <row r="353" spans="2:8" x14ac:dyDescent="0.25">
      <c r="B353" s="8"/>
      <c r="E353" s="11"/>
      <c r="F353" s="11"/>
      <c r="H353" s="3"/>
    </row>
    <row r="354" spans="2:8" x14ac:dyDescent="0.25">
      <c r="B354" s="8"/>
      <c r="E354" s="11"/>
      <c r="F354" s="11"/>
      <c r="H354" s="3"/>
    </row>
    <row r="355" spans="2:8" x14ac:dyDescent="0.25">
      <c r="B355" s="8"/>
      <c r="E355" s="11"/>
      <c r="F355" s="11"/>
      <c r="H355" s="3"/>
    </row>
    <row r="356" spans="2:8" x14ac:dyDescent="0.25">
      <c r="B356" s="8"/>
      <c r="E356" s="11"/>
      <c r="F356" s="11"/>
      <c r="H356" s="3"/>
    </row>
    <row r="357" spans="2:8" x14ac:dyDescent="0.25">
      <c r="B357" s="8"/>
      <c r="E357" s="11"/>
      <c r="F357" s="11"/>
      <c r="H357" s="3"/>
    </row>
    <row r="358" spans="2:8" x14ac:dyDescent="0.25">
      <c r="B358" s="8"/>
      <c r="E358" s="11"/>
      <c r="F358" s="11"/>
      <c r="H358" s="3"/>
    </row>
    <row r="359" spans="2:8" x14ac:dyDescent="0.25">
      <c r="B359" s="8"/>
      <c r="E359" s="11"/>
      <c r="F359" s="11"/>
      <c r="H359" s="3"/>
    </row>
    <row r="360" spans="2:8" x14ac:dyDescent="0.25">
      <c r="B360" s="8"/>
      <c r="E360" s="11"/>
      <c r="F360" s="11"/>
      <c r="H360" s="3"/>
    </row>
    <row r="361" spans="2:8" x14ac:dyDescent="0.25">
      <c r="B361" s="8"/>
      <c r="E361" s="11"/>
      <c r="F361" s="11"/>
      <c r="H361" s="3"/>
    </row>
    <row r="362" spans="2:8" x14ac:dyDescent="0.25">
      <c r="B362" s="8"/>
      <c r="E362" s="11"/>
      <c r="F362" s="11"/>
      <c r="H362" s="3"/>
    </row>
    <row r="363" spans="2:8" x14ac:dyDescent="0.25">
      <c r="B363" s="8"/>
      <c r="E363" s="11"/>
      <c r="F363" s="11"/>
      <c r="H363" s="3"/>
    </row>
    <row r="364" spans="2:8" x14ac:dyDescent="0.25">
      <c r="B364" s="8"/>
      <c r="E364" s="11"/>
      <c r="F364" s="11"/>
      <c r="H364" s="3"/>
    </row>
    <row r="365" spans="2:8" x14ac:dyDescent="0.25">
      <c r="B365" s="8"/>
      <c r="E365" s="11"/>
      <c r="F365" s="11"/>
      <c r="H365" s="3"/>
    </row>
    <row r="366" spans="2:8" x14ac:dyDescent="0.25">
      <c r="B366" s="8"/>
      <c r="E366" s="11"/>
      <c r="F366" s="11"/>
      <c r="H366" s="3"/>
    </row>
    <row r="367" spans="2:8" x14ac:dyDescent="0.25">
      <c r="B367" s="8"/>
      <c r="E367" s="11"/>
      <c r="F367" s="11"/>
      <c r="H367" s="3"/>
    </row>
    <row r="368" spans="2:8" x14ac:dyDescent="0.25">
      <c r="B368" s="8"/>
      <c r="E368" s="11"/>
      <c r="F368" s="11"/>
      <c r="H368" s="3"/>
    </row>
    <row r="369" spans="2:8" x14ac:dyDescent="0.25">
      <c r="B369" s="8"/>
      <c r="E369" s="11"/>
      <c r="F369" s="11"/>
      <c r="H369" s="3"/>
    </row>
    <row r="370" spans="2:8" x14ac:dyDescent="0.25">
      <c r="B370" s="8"/>
      <c r="E370" s="11"/>
      <c r="F370" s="11"/>
      <c r="H370" s="3"/>
    </row>
    <row r="371" spans="2:8" x14ac:dyDescent="0.25">
      <c r="B371" s="8"/>
      <c r="E371" s="11"/>
      <c r="F371" s="11"/>
      <c r="H371" s="3"/>
    </row>
    <row r="372" spans="2:8" x14ac:dyDescent="0.25">
      <c r="B372" s="8"/>
      <c r="E372" s="11"/>
      <c r="F372" s="11"/>
      <c r="H372" s="3"/>
    </row>
    <row r="373" spans="2:8" x14ac:dyDescent="0.25">
      <c r="B373" s="8"/>
      <c r="E373" s="11"/>
      <c r="F373" s="11"/>
      <c r="H373" s="3"/>
    </row>
    <row r="374" spans="2:8" x14ac:dyDescent="0.25">
      <c r="B374" s="8"/>
      <c r="E374" s="11"/>
      <c r="F374" s="11"/>
      <c r="H374" s="3"/>
    </row>
    <row r="375" spans="2:8" x14ac:dyDescent="0.25">
      <c r="B375" s="8"/>
      <c r="E375" s="11"/>
      <c r="F375" s="11"/>
      <c r="H375" s="3"/>
    </row>
    <row r="376" spans="2:8" x14ac:dyDescent="0.25">
      <c r="B376" s="8"/>
      <c r="E376" s="11"/>
      <c r="F376" s="11"/>
      <c r="H376" s="3"/>
    </row>
    <row r="377" spans="2:8" x14ac:dyDescent="0.25">
      <c r="B377" s="8"/>
      <c r="E377" s="11"/>
      <c r="F377" s="11"/>
      <c r="H377" s="3"/>
    </row>
    <row r="378" spans="2:8" x14ac:dyDescent="0.25">
      <c r="B378" s="8"/>
      <c r="E378" s="11"/>
      <c r="F378" s="11"/>
      <c r="H378" s="3"/>
    </row>
    <row r="379" spans="2:8" x14ac:dyDescent="0.25">
      <c r="B379" s="8"/>
      <c r="E379" s="11"/>
      <c r="F379" s="11"/>
      <c r="H379" s="3"/>
    </row>
    <row r="380" spans="2:8" x14ac:dyDescent="0.25">
      <c r="B380" s="8"/>
      <c r="E380" s="11"/>
      <c r="F380" s="11"/>
      <c r="H380" s="3"/>
    </row>
    <row r="381" spans="2:8" x14ac:dyDescent="0.25">
      <c r="B381" s="8"/>
      <c r="E381" s="11"/>
      <c r="F381" s="11"/>
      <c r="H381" s="3"/>
    </row>
    <row r="382" spans="2:8" x14ac:dyDescent="0.25">
      <c r="B382" s="8"/>
      <c r="E382" s="11"/>
      <c r="F382" s="11"/>
      <c r="H382" s="3"/>
    </row>
    <row r="383" spans="2:8" x14ac:dyDescent="0.25">
      <c r="B383" s="8"/>
      <c r="E383" s="11"/>
      <c r="F383" s="11"/>
      <c r="H383" s="3"/>
    </row>
    <row r="384" spans="2:8" x14ac:dyDescent="0.25">
      <c r="B384" s="8"/>
      <c r="E384" s="11"/>
      <c r="F384" s="11"/>
      <c r="H384" s="3"/>
    </row>
    <row r="385" spans="2:8" x14ac:dyDescent="0.25">
      <c r="B385" s="8"/>
      <c r="E385" s="11"/>
      <c r="F385" s="11"/>
      <c r="H385" s="3"/>
    </row>
    <row r="386" spans="2:8" x14ac:dyDescent="0.25">
      <c r="B386" s="8"/>
      <c r="E386" s="11"/>
      <c r="F386" s="11"/>
      <c r="H386" s="3"/>
    </row>
    <row r="387" spans="2:8" x14ac:dyDescent="0.25">
      <c r="B387" s="8"/>
      <c r="E387" s="11"/>
      <c r="F387" s="11"/>
      <c r="H387" s="3"/>
    </row>
    <row r="388" spans="2:8" x14ac:dyDescent="0.25">
      <c r="B388" s="8"/>
      <c r="E388" s="11"/>
      <c r="F388" s="11"/>
      <c r="H388" s="3"/>
    </row>
    <row r="389" spans="2:8" x14ac:dyDescent="0.25">
      <c r="B389" s="8"/>
      <c r="E389" s="11"/>
      <c r="F389" s="11"/>
      <c r="H389" s="3"/>
    </row>
    <row r="390" spans="2:8" x14ac:dyDescent="0.25">
      <c r="B390" s="8"/>
      <c r="E390" s="11"/>
      <c r="F390" s="11"/>
      <c r="H390" s="3"/>
    </row>
    <row r="391" spans="2:8" x14ac:dyDescent="0.25">
      <c r="B391" s="8"/>
      <c r="E391" s="11"/>
      <c r="F391" s="11"/>
      <c r="H391" s="3"/>
    </row>
    <row r="392" spans="2:8" x14ac:dyDescent="0.25">
      <c r="B392" s="8"/>
      <c r="E392" s="11"/>
      <c r="F392" s="11"/>
      <c r="H392" s="3"/>
    </row>
    <row r="393" spans="2:8" x14ac:dyDescent="0.25">
      <c r="B393" s="8"/>
      <c r="E393" s="11"/>
      <c r="F393" s="11"/>
      <c r="H393" s="3"/>
    </row>
    <row r="394" spans="2:8" x14ac:dyDescent="0.25">
      <c r="B394" s="8"/>
      <c r="E394" s="11"/>
      <c r="F394" s="11"/>
      <c r="H394" s="3"/>
    </row>
    <row r="395" spans="2:8" x14ac:dyDescent="0.25">
      <c r="B395" s="8"/>
      <c r="E395" s="11"/>
      <c r="F395" s="11"/>
      <c r="H395" s="3"/>
    </row>
    <row r="396" spans="2:8" x14ac:dyDescent="0.25">
      <c r="B396" s="8"/>
      <c r="E396" s="11"/>
      <c r="F396" s="11"/>
      <c r="H396" s="3"/>
    </row>
    <row r="397" spans="2:8" x14ac:dyDescent="0.25">
      <c r="B397" s="8"/>
      <c r="E397" s="11"/>
      <c r="F397" s="11"/>
      <c r="H397" s="3"/>
    </row>
    <row r="398" spans="2:8" x14ac:dyDescent="0.25">
      <c r="B398" s="8"/>
      <c r="E398" s="11"/>
      <c r="F398" s="11"/>
      <c r="H398" s="3"/>
    </row>
    <row r="399" spans="2:8" x14ac:dyDescent="0.25">
      <c r="B399" s="8"/>
      <c r="E399" s="11"/>
      <c r="F399" s="11"/>
      <c r="H399" s="3"/>
    </row>
    <row r="400" spans="2:8" x14ac:dyDescent="0.25">
      <c r="B400" s="8"/>
      <c r="E400" s="11"/>
      <c r="F400" s="11"/>
      <c r="H400" s="3"/>
    </row>
    <row r="401" spans="2:8" x14ac:dyDescent="0.25">
      <c r="B401" s="8"/>
      <c r="E401" s="11"/>
      <c r="F401" s="11"/>
      <c r="H401" s="3"/>
    </row>
    <row r="402" spans="2:8" x14ac:dyDescent="0.25">
      <c r="B402" s="8"/>
      <c r="E402" s="11"/>
      <c r="F402" s="11"/>
      <c r="H402" s="3"/>
    </row>
    <row r="403" spans="2:8" x14ac:dyDescent="0.25">
      <c r="B403" s="8"/>
      <c r="E403" s="11"/>
      <c r="F403" s="11"/>
      <c r="H403" s="3"/>
    </row>
    <row r="404" spans="2:8" x14ac:dyDescent="0.25">
      <c r="B404" s="8"/>
      <c r="E404" s="11"/>
      <c r="F404" s="11"/>
      <c r="H404" s="3"/>
    </row>
    <row r="405" spans="2:8" x14ac:dyDescent="0.25">
      <c r="B405" s="8"/>
      <c r="E405" s="11"/>
      <c r="F405" s="11"/>
      <c r="H405" s="3"/>
    </row>
    <row r="406" spans="2:8" x14ac:dyDescent="0.25">
      <c r="B406" s="8"/>
      <c r="E406" s="11"/>
      <c r="F406" s="11"/>
      <c r="H406" s="3"/>
    </row>
    <row r="407" spans="2:8" x14ac:dyDescent="0.25">
      <c r="B407" s="8"/>
      <c r="E407" s="11"/>
      <c r="F407" s="11"/>
      <c r="H407" s="3"/>
    </row>
    <row r="408" spans="2:8" x14ac:dyDescent="0.25">
      <c r="B408" s="8"/>
      <c r="E408" s="11"/>
      <c r="F408" s="11"/>
      <c r="H408" s="3"/>
    </row>
    <row r="409" spans="2:8" x14ac:dyDescent="0.25">
      <c r="B409" s="8"/>
      <c r="E409" s="11"/>
      <c r="F409" s="11"/>
      <c r="H409" s="3"/>
    </row>
    <row r="410" spans="2:8" x14ac:dyDescent="0.25">
      <c r="B410" s="8"/>
      <c r="E410" s="11"/>
      <c r="F410" s="11"/>
      <c r="H410" s="3"/>
    </row>
    <row r="411" spans="2:8" x14ac:dyDescent="0.25">
      <c r="B411" s="8"/>
      <c r="E411" s="11"/>
      <c r="F411" s="11"/>
      <c r="H411" s="3"/>
    </row>
    <row r="412" spans="2:8" x14ac:dyDescent="0.25">
      <c r="B412" s="8"/>
      <c r="E412" s="11"/>
      <c r="F412" s="11"/>
      <c r="H412" s="3"/>
    </row>
    <row r="413" spans="2:8" x14ac:dyDescent="0.25">
      <c r="B413" s="8"/>
      <c r="E413" s="11"/>
      <c r="F413" s="11"/>
      <c r="H413" s="3"/>
    </row>
    <row r="414" spans="2:8" x14ac:dyDescent="0.25">
      <c r="B414" s="8"/>
      <c r="E414" s="11"/>
      <c r="F414" s="11"/>
      <c r="H414" s="3"/>
    </row>
    <row r="415" spans="2:8" x14ac:dyDescent="0.25">
      <c r="B415" s="8"/>
      <c r="E415" s="11"/>
      <c r="F415" s="11"/>
      <c r="H415" s="3"/>
    </row>
    <row r="416" spans="2:8" x14ac:dyDescent="0.25">
      <c r="B416" s="8"/>
      <c r="E416" s="11"/>
      <c r="F416" s="11"/>
      <c r="H416" s="3"/>
    </row>
    <row r="417" spans="2:8" x14ac:dyDescent="0.25">
      <c r="B417" s="8"/>
      <c r="E417" s="11"/>
      <c r="F417" s="11"/>
      <c r="H417" s="3"/>
    </row>
    <row r="418" spans="2:8" x14ac:dyDescent="0.25">
      <c r="B418" s="8"/>
      <c r="E418" s="11"/>
      <c r="F418" s="11"/>
      <c r="H418" s="3"/>
    </row>
    <row r="419" spans="2:8" x14ac:dyDescent="0.25">
      <c r="B419" s="8"/>
      <c r="E419" s="11"/>
      <c r="F419" s="11"/>
      <c r="H419" s="3"/>
    </row>
    <row r="420" spans="2:8" x14ac:dyDescent="0.25">
      <c r="B420" s="8"/>
      <c r="E420" s="11"/>
      <c r="F420" s="11"/>
      <c r="H420" s="3"/>
    </row>
    <row r="421" spans="2:8" x14ac:dyDescent="0.25">
      <c r="B421" s="8"/>
      <c r="E421" s="11"/>
      <c r="F421" s="11"/>
      <c r="H421" s="3"/>
    </row>
    <row r="422" spans="2:8" x14ac:dyDescent="0.25">
      <c r="B422" s="8"/>
      <c r="E422" s="11"/>
      <c r="F422" s="11"/>
      <c r="H422" s="3"/>
    </row>
    <row r="423" spans="2:8" x14ac:dyDescent="0.25">
      <c r="B423" s="8"/>
      <c r="E423" s="11"/>
      <c r="F423" s="11"/>
      <c r="H423" s="3"/>
    </row>
    <row r="424" spans="2:8" x14ac:dyDescent="0.25">
      <c r="B424" s="8"/>
      <c r="E424" s="11"/>
      <c r="F424" s="11"/>
      <c r="H424" s="3"/>
    </row>
    <row r="425" spans="2:8" x14ac:dyDescent="0.25">
      <c r="B425" s="8"/>
      <c r="E425" s="11"/>
      <c r="F425" s="11"/>
      <c r="H425" s="3"/>
    </row>
    <row r="426" spans="2:8" x14ac:dyDescent="0.25">
      <c r="B426" s="8"/>
      <c r="E426" s="11"/>
      <c r="F426" s="11"/>
      <c r="H426" s="3"/>
    </row>
    <row r="427" spans="2:8" x14ac:dyDescent="0.25">
      <c r="B427" s="8"/>
      <c r="E427" s="11"/>
      <c r="F427" s="11"/>
      <c r="H427" s="3"/>
    </row>
    <row r="428" spans="2:8" x14ac:dyDescent="0.25">
      <c r="B428" s="8"/>
      <c r="E428" s="11"/>
      <c r="F428" s="11"/>
      <c r="H428" s="3"/>
    </row>
    <row r="429" spans="2:8" x14ac:dyDescent="0.25">
      <c r="B429" s="8"/>
      <c r="E429" s="11"/>
      <c r="F429" s="11"/>
      <c r="H429" s="3"/>
    </row>
    <row r="430" spans="2:8" x14ac:dyDescent="0.25">
      <c r="B430" s="8"/>
      <c r="E430" s="11"/>
      <c r="F430" s="11"/>
      <c r="H430" s="3"/>
    </row>
    <row r="431" spans="2:8" x14ac:dyDescent="0.25">
      <c r="B431" s="8"/>
      <c r="E431" s="11"/>
      <c r="F431" s="11"/>
      <c r="H431" s="3"/>
    </row>
    <row r="432" spans="2:8" x14ac:dyDescent="0.25">
      <c r="B432" s="8"/>
      <c r="E432" s="11"/>
      <c r="F432" s="11"/>
      <c r="H432" s="3"/>
    </row>
    <row r="433" spans="2:8" x14ac:dyDescent="0.25">
      <c r="B433" s="8"/>
      <c r="E433" s="11"/>
      <c r="F433" s="11"/>
      <c r="H433" s="3"/>
    </row>
    <row r="434" spans="2:8" x14ac:dyDescent="0.25">
      <c r="B434" s="8"/>
      <c r="E434" s="11"/>
      <c r="F434" s="11"/>
      <c r="H434" s="3"/>
    </row>
    <row r="435" spans="2:8" x14ac:dyDescent="0.25">
      <c r="B435" s="8"/>
      <c r="E435" s="11"/>
      <c r="F435" s="11"/>
      <c r="H435" s="3"/>
    </row>
    <row r="436" spans="2:8" x14ac:dyDescent="0.25">
      <c r="B436" s="8"/>
      <c r="E436" s="11"/>
      <c r="F436" s="11"/>
      <c r="H436" s="3"/>
    </row>
    <row r="437" spans="2:8" x14ac:dyDescent="0.25">
      <c r="B437" s="8"/>
      <c r="E437" s="11"/>
      <c r="F437" s="11"/>
      <c r="H437" s="3"/>
    </row>
    <row r="438" spans="2:8" x14ac:dyDescent="0.25">
      <c r="B438" s="8"/>
      <c r="E438" s="11"/>
      <c r="F438" s="11"/>
      <c r="H438" s="3"/>
    </row>
    <row r="439" spans="2:8" x14ac:dyDescent="0.25">
      <c r="B439" s="8"/>
      <c r="E439" s="11"/>
      <c r="F439" s="11"/>
      <c r="H439" s="3"/>
    </row>
    <row r="440" spans="2:8" x14ac:dyDescent="0.25">
      <c r="B440" s="8"/>
      <c r="E440" s="11"/>
      <c r="F440" s="11"/>
      <c r="H440" s="3"/>
    </row>
    <row r="441" spans="2:8" x14ac:dyDescent="0.25">
      <c r="B441" s="8"/>
      <c r="E441" s="11"/>
      <c r="F441" s="11"/>
      <c r="H441" s="3"/>
    </row>
    <row r="442" spans="2:8" x14ac:dyDescent="0.25">
      <c r="B442" s="8"/>
      <c r="E442" s="11"/>
      <c r="F442" s="11"/>
      <c r="H442" s="3"/>
    </row>
    <row r="443" spans="2:8" x14ac:dyDescent="0.25">
      <c r="B443" s="8"/>
      <c r="E443" s="11"/>
      <c r="F443" s="11"/>
      <c r="H443" s="3"/>
    </row>
    <row r="444" spans="2:8" x14ac:dyDescent="0.25">
      <c r="B444" s="8"/>
      <c r="E444" s="11"/>
      <c r="F444" s="11"/>
      <c r="H444" s="3"/>
    </row>
    <row r="445" spans="2:8" x14ac:dyDescent="0.25">
      <c r="B445" s="8"/>
      <c r="E445" s="11"/>
      <c r="F445" s="11"/>
      <c r="H445" s="3"/>
    </row>
    <row r="446" spans="2:8" x14ac:dyDescent="0.25">
      <c r="B446" s="8"/>
      <c r="E446" s="11"/>
      <c r="F446" s="11"/>
      <c r="H446" s="3"/>
    </row>
    <row r="447" spans="2:8" x14ac:dyDescent="0.25">
      <c r="B447" s="8"/>
      <c r="E447" s="11"/>
      <c r="F447" s="11"/>
      <c r="H447" s="3"/>
    </row>
    <row r="448" spans="2:8" x14ac:dyDescent="0.25">
      <c r="B448" s="8"/>
      <c r="E448" s="11"/>
      <c r="F448" s="11"/>
      <c r="H448" s="3"/>
    </row>
    <row r="449" spans="2:8" x14ac:dyDescent="0.25">
      <c r="B449" s="8"/>
      <c r="E449" s="11"/>
      <c r="F449" s="11"/>
      <c r="H449" s="3"/>
    </row>
    <row r="450" spans="2:8" x14ac:dyDescent="0.25">
      <c r="B450" s="8"/>
      <c r="E450" s="11"/>
      <c r="F450" s="11"/>
      <c r="H450" s="3"/>
    </row>
    <row r="451" spans="2:8" x14ac:dyDescent="0.25">
      <c r="B451" s="8"/>
      <c r="E451" s="11"/>
      <c r="F451" s="11"/>
      <c r="H451" s="3"/>
    </row>
    <row r="452" spans="2:8" x14ac:dyDescent="0.25">
      <c r="B452" s="8"/>
      <c r="E452" s="11"/>
      <c r="F452" s="11"/>
      <c r="H452" s="3"/>
    </row>
    <row r="453" spans="2:8" x14ac:dyDescent="0.25">
      <c r="B453" s="8"/>
      <c r="E453" s="11"/>
      <c r="F453" s="11"/>
      <c r="H453" s="3"/>
    </row>
    <row r="454" spans="2:8" x14ac:dyDescent="0.25">
      <c r="B454" s="8"/>
      <c r="E454" s="11"/>
      <c r="F454" s="11"/>
      <c r="H454" s="3"/>
    </row>
    <row r="455" spans="2:8" x14ac:dyDescent="0.25">
      <c r="B455" s="8"/>
      <c r="E455" s="11"/>
      <c r="F455" s="11"/>
      <c r="H455" s="3"/>
    </row>
    <row r="456" spans="2:8" x14ac:dyDescent="0.25">
      <c r="B456" s="8"/>
      <c r="E456" s="11"/>
      <c r="F456" s="11"/>
      <c r="H456" s="3"/>
    </row>
    <row r="457" spans="2:8" x14ac:dyDescent="0.25">
      <c r="B457" s="8"/>
      <c r="E457" s="11"/>
      <c r="F457" s="11"/>
      <c r="H457" s="3"/>
    </row>
    <row r="458" spans="2:8" x14ac:dyDescent="0.25">
      <c r="B458" s="8"/>
      <c r="E458" s="11"/>
      <c r="F458" s="11"/>
      <c r="H458" s="3"/>
    </row>
    <row r="459" spans="2:8" x14ac:dyDescent="0.25">
      <c r="B459" s="8"/>
      <c r="E459" s="11"/>
      <c r="F459" s="11"/>
      <c r="H459" s="3"/>
    </row>
    <row r="460" spans="2:8" x14ac:dyDescent="0.25">
      <c r="B460" s="8"/>
      <c r="E460" s="11"/>
      <c r="F460" s="11"/>
      <c r="H460" s="3"/>
    </row>
    <row r="461" spans="2:8" x14ac:dyDescent="0.25">
      <c r="B461" s="8"/>
      <c r="E461" s="11"/>
      <c r="F461" s="11"/>
      <c r="H461" s="3"/>
    </row>
    <row r="462" spans="2:8" x14ac:dyDescent="0.25">
      <c r="B462" s="8"/>
      <c r="E462" s="11"/>
      <c r="F462" s="11"/>
      <c r="H462" s="3"/>
    </row>
    <row r="463" spans="2:8" x14ac:dyDescent="0.25">
      <c r="B463" s="8"/>
      <c r="E463" s="11"/>
      <c r="F463" s="11"/>
      <c r="H463" s="3"/>
    </row>
    <row r="464" spans="2:8" x14ac:dyDescent="0.25">
      <c r="B464" s="8"/>
      <c r="E464" s="11"/>
      <c r="F464" s="11"/>
      <c r="H464" s="3"/>
    </row>
    <row r="465" spans="2:8" x14ac:dyDescent="0.25">
      <c r="B465" s="8"/>
      <c r="E465" s="11"/>
      <c r="F465" s="11"/>
      <c r="H465" s="3"/>
    </row>
    <row r="466" spans="2:8" x14ac:dyDescent="0.25">
      <c r="B466" s="8"/>
      <c r="E466" s="11"/>
      <c r="F466" s="11"/>
      <c r="H466" s="3"/>
    </row>
    <row r="467" spans="2:8" x14ac:dyDescent="0.25">
      <c r="B467" s="8"/>
      <c r="E467" s="11"/>
      <c r="F467" s="11"/>
      <c r="H467" s="3"/>
    </row>
    <row r="468" spans="2:8" x14ac:dyDescent="0.25">
      <c r="B468" s="8"/>
      <c r="E468" s="11"/>
      <c r="F468" s="11"/>
      <c r="H468" s="3"/>
    </row>
    <row r="469" spans="2:8" x14ac:dyDescent="0.25">
      <c r="B469" s="8"/>
      <c r="E469" s="11"/>
      <c r="F469" s="11"/>
      <c r="H469" s="3"/>
    </row>
    <row r="470" spans="2:8" x14ac:dyDescent="0.25">
      <c r="B470" s="8"/>
      <c r="E470" s="11"/>
      <c r="F470" s="11"/>
      <c r="H470" s="3"/>
    </row>
    <row r="471" spans="2:8" x14ac:dyDescent="0.25">
      <c r="B471" s="8"/>
      <c r="E471" s="11"/>
      <c r="F471" s="11"/>
      <c r="H471" s="3"/>
    </row>
    <row r="472" spans="2:8" x14ac:dyDescent="0.25">
      <c r="B472" s="8"/>
      <c r="E472" s="11"/>
      <c r="F472" s="11"/>
      <c r="H472" s="3"/>
    </row>
    <row r="473" spans="2:8" x14ac:dyDescent="0.25">
      <c r="B473" s="8"/>
      <c r="E473" s="11"/>
      <c r="F473" s="11"/>
      <c r="H473" s="3"/>
    </row>
    <row r="474" spans="2:8" x14ac:dyDescent="0.25">
      <c r="B474" s="8"/>
      <c r="E474" s="11"/>
      <c r="F474" s="11"/>
      <c r="H474" s="3"/>
    </row>
    <row r="475" spans="2:8" x14ac:dyDescent="0.25">
      <c r="B475" s="8"/>
      <c r="E475" s="11"/>
      <c r="F475" s="11"/>
      <c r="H475" s="3"/>
    </row>
    <row r="476" spans="2:8" x14ac:dyDescent="0.25">
      <c r="B476" s="8"/>
      <c r="E476" s="11"/>
      <c r="F476" s="11"/>
      <c r="H476" s="3"/>
    </row>
    <row r="477" spans="2:8" x14ac:dyDescent="0.25">
      <c r="B477" s="8"/>
      <c r="E477" s="11"/>
      <c r="F477" s="11"/>
      <c r="H477" s="3"/>
    </row>
    <row r="478" spans="2:8" x14ac:dyDescent="0.25">
      <c r="B478" s="8"/>
      <c r="E478" s="11"/>
      <c r="F478" s="11"/>
      <c r="H478" s="3"/>
    </row>
    <row r="479" spans="2:8" x14ac:dyDescent="0.25">
      <c r="B479" s="8"/>
      <c r="E479" s="11"/>
      <c r="F479" s="11"/>
      <c r="H479" s="3"/>
    </row>
    <row r="480" spans="2:8" x14ac:dyDescent="0.25">
      <c r="B480" s="8"/>
      <c r="E480" s="11"/>
      <c r="F480" s="11"/>
      <c r="H480" s="3"/>
    </row>
    <row r="481" spans="2:8" x14ac:dyDescent="0.25">
      <c r="B481" s="8"/>
      <c r="E481" s="11"/>
      <c r="F481" s="11"/>
      <c r="H481" s="3"/>
    </row>
    <row r="482" spans="2:8" x14ac:dyDescent="0.25">
      <c r="B482" s="8"/>
      <c r="E482" s="11"/>
      <c r="F482" s="11"/>
      <c r="H482" s="3"/>
    </row>
    <row r="483" spans="2:8" x14ac:dyDescent="0.25">
      <c r="B483" s="8"/>
      <c r="E483" s="11"/>
      <c r="F483" s="11"/>
      <c r="H483" s="3"/>
    </row>
    <row r="484" spans="2:8" x14ac:dyDescent="0.25">
      <c r="B484" s="8"/>
      <c r="E484" s="11"/>
      <c r="F484" s="11"/>
      <c r="H484" s="3"/>
    </row>
    <row r="485" spans="2:8" x14ac:dyDescent="0.25">
      <c r="B485" s="8"/>
      <c r="E485" s="11"/>
      <c r="F485" s="11"/>
      <c r="H485" s="3"/>
    </row>
    <row r="486" spans="2:8" x14ac:dyDescent="0.25">
      <c r="B486" s="8"/>
      <c r="E486" s="11"/>
      <c r="F486" s="11"/>
      <c r="H486" s="3"/>
    </row>
    <row r="487" spans="2:8" x14ac:dyDescent="0.25">
      <c r="B487" s="8"/>
      <c r="E487" s="11"/>
      <c r="F487" s="11"/>
      <c r="H487" s="3"/>
    </row>
    <row r="488" spans="2:8" x14ac:dyDescent="0.25">
      <c r="B488" s="8"/>
      <c r="E488" s="11"/>
      <c r="F488" s="11"/>
      <c r="H488" s="3"/>
    </row>
    <row r="489" spans="2:8" x14ac:dyDescent="0.25">
      <c r="B489" s="8"/>
      <c r="E489" s="11"/>
      <c r="F489" s="11"/>
      <c r="H489" s="3"/>
    </row>
    <row r="490" spans="2:8" x14ac:dyDescent="0.25">
      <c r="B490" s="8"/>
      <c r="E490" s="11"/>
      <c r="F490" s="11"/>
      <c r="H490" s="3"/>
    </row>
    <row r="491" spans="2:8" x14ac:dyDescent="0.25">
      <c r="B491" s="8"/>
      <c r="E491" s="11"/>
      <c r="F491" s="11"/>
      <c r="H491" s="3"/>
    </row>
    <row r="492" spans="2:8" x14ac:dyDescent="0.25">
      <c r="B492" s="8"/>
      <c r="E492" s="11"/>
      <c r="F492" s="11"/>
      <c r="H492" s="3"/>
    </row>
    <row r="493" spans="2:8" x14ac:dyDescent="0.25">
      <c r="B493" s="8"/>
      <c r="E493" s="11"/>
      <c r="F493" s="11"/>
      <c r="H493" s="3"/>
    </row>
    <row r="494" spans="2:8" x14ac:dyDescent="0.25">
      <c r="B494" s="8"/>
      <c r="E494" s="11"/>
      <c r="F494" s="11"/>
      <c r="H494" s="3"/>
    </row>
    <row r="495" spans="2:8" x14ac:dyDescent="0.25">
      <c r="B495" s="8"/>
      <c r="E495" s="11"/>
      <c r="F495" s="11"/>
      <c r="H495" s="3"/>
    </row>
    <row r="496" spans="2:8" x14ac:dyDescent="0.25">
      <c r="B496" s="8"/>
      <c r="E496" s="11"/>
      <c r="F496" s="11"/>
      <c r="H496" s="3"/>
    </row>
    <row r="497" spans="2:8" x14ac:dyDescent="0.25">
      <c r="B497" s="8"/>
      <c r="E497" s="11"/>
      <c r="F497" s="11"/>
      <c r="H497" s="3"/>
    </row>
    <row r="498" spans="2:8" x14ac:dyDescent="0.25">
      <c r="B498" s="8"/>
      <c r="E498" s="11"/>
      <c r="F498" s="11"/>
      <c r="H498" s="3"/>
    </row>
    <row r="499" spans="2:8" x14ac:dyDescent="0.25">
      <c r="B499" s="8"/>
      <c r="E499" s="11"/>
      <c r="F499" s="11"/>
      <c r="H499" s="3"/>
    </row>
    <row r="500" spans="2:8" x14ac:dyDescent="0.25">
      <c r="B500" s="8"/>
      <c r="E500" s="11"/>
      <c r="F500" s="11"/>
      <c r="H500" s="3"/>
    </row>
    <row r="501" spans="2:8" x14ac:dyDescent="0.25">
      <c r="B501" s="8"/>
      <c r="E501" s="11"/>
      <c r="F501" s="11"/>
      <c r="H501" s="3"/>
    </row>
    <row r="502" spans="2:8" x14ac:dyDescent="0.25">
      <c r="B502" s="8"/>
      <c r="E502" s="11"/>
      <c r="F502" s="11"/>
      <c r="H502" s="3"/>
    </row>
    <row r="503" spans="2:8" x14ac:dyDescent="0.25">
      <c r="B503" s="8"/>
      <c r="E503" s="11"/>
      <c r="F503" s="11"/>
      <c r="H503" s="3"/>
    </row>
    <row r="504" spans="2:8" x14ac:dyDescent="0.25">
      <c r="B504" s="8"/>
      <c r="E504" s="11"/>
      <c r="F504" s="11"/>
      <c r="H504" s="3"/>
    </row>
    <row r="505" spans="2:8" x14ac:dyDescent="0.25">
      <c r="B505" s="8"/>
      <c r="E505" s="11"/>
      <c r="F505" s="11"/>
      <c r="H505" s="3"/>
    </row>
    <row r="506" spans="2:8" x14ac:dyDescent="0.25">
      <c r="B506" s="8"/>
      <c r="E506" s="11"/>
      <c r="F506" s="11"/>
      <c r="H506" s="3"/>
    </row>
    <row r="507" spans="2:8" x14ac:dyDescent="0.25">
      <c r="B507" s="8"/>
      <c r="E507" s="11"/>
      <c r="F507" s="11"/>
      <c r="H507" s="3"/>
    </row>
    <row r="508" spans="2:8" x14ac:dyDescent="0.25">
      <c r="B508" s="8"/>
      <c r="E508" s="11"/>
      <c r="F508" s="11"/>
      <c r="H508" s="3"/>
    </row>
    <row r="509" spans="2:8" x14ac:dyDescent="0.25">
      <c r="B509" s="8"/>
      <c r="E509" s="11"/>
      <c r="F509" s="11"/>
      <c r="H509" s="3"/>
    </row>
    <row r="510" spans="2:8" x14ac:dyDescent="0.25">
      <c r="B510" s="8"/>
      <c r="E510" s="11"/>
      <c r="F510" s="11"/>
      <c r="H510" s="3"/>
    </row>
    <row r="511" spans="2:8" x14ac:dyDescent="0.25">
      <c r="B511" s="8"/>
      <c r="E511" s="11"/>
      <c r="F511" s="11"/>
      <c r="H511" s="3"/>
    </row>
    <row r="512" spans="2:8" x14ac:dyDescent="0.25">
      <c r="B512" s="8"/>
      <c r="E512" s="11"/>
      <c r="F512" s="11"/>
      <c r="H512" s="3"/>
    </row>
    <row r="513" spans="2:8" x14ac:dyDescent="0.25">
      <c r="B513" s="8"/>
      <c r="E513" s="11"/>
      <c r="F513" s="11"/>
      <c r="H513" s="3"/>
    </row>
    <row r="514" spans="2:8" x14ac:dyDescent="0.25">
      <c r="B514" s="8"/>
      <c r="E514" s="11"/>
      <c r="F514" s="11"/>
      <c r="H514" s="3"/>
    </row>
    <row r="515" spans="2:8" x14ac:dyDescent="0.25">
      <c r="B515" s="8"/>
      <c r="E515" s="11"/>
      <c r="F515" s="11"/>
      <c r="H515" s="3"/>
    </row>
    <row r="516" spans="2:8" x14ac:dyDescent="0.25">
      <c r="B516" s="8"/>
      <c r="E516" s="11"/>
      <c r="F516" s="11"/>
      <c r="H516" s="3"/>
    </row>
    <row r="517" spans="2:8" x14ac:dyDescent="0.25">
      <c r="B517" s="8"/>
      <c r="E517" s="11"/>
      <c r="F517" s="11"/>
      <c r="H517" s="3"/>
    </row>
    <row r="518" spans="2:8" x14ac:dyDescent="0.25">
      <c r="B518" s="8"/>
      <c r="E518" s="11"/>
      <c r="F518" s="11"/>
      <c r="H518" s="3"/>
    </row>
    <row r="519" spans="2:8" x14ac:dyDescent="0.25">
      <c r="B519" s="8"/>
      <c r="E519" s="11"/>
      <c r="F519" s="11"/>
      <c r="H519" s="3"/>
    </row>
    <row r="520" spans="2:8" x14ac:dyDescent="0.25">
      <c r="B520" s="8"/>
      <c r="E520" s="11"/>
      <c r="F520" s="11"/>
      <c r="H520" s="3"/>
    </row>
    <row r="521" spans="2:8" x14ac:dyDescent="0.25">
      <c r="B521" s="8"/>
      <c r="E521" s="11"/>
      <c r="F521" s="11"/>
      <c r="H521" s="3"/>
    </row>
    <row r="522" spans="2:8" x14ac:dyDescent="0.25">
      <c r="B522" s="8"/>
      <c r="E522" s="11"/>
      <c r="F522" s="11"/>
      <c r="H522" s="3"/>
    </row>
    <row r="523" spans="2:8" x14ac:dyDescent="0.25">
      <c r="B523" s="8"/>
      <c r="E523" s="11"/>
      <c r="F523" s="11"/>
      <c r="H523" s="3"/>
    </row>
    <row r="524" spans="2:8" x14ac:dyDescent="0.25">
      <c r="B524" s="8"/>
      <c r="E524" s="11"/>
      <c r="F524" s="11"/>
      <c r="H524" s="3"/>
    </row>
    <row r="525" spans="2:8" x14ac:dyDescent="0.25">
      <c r="B525" s="8"/>
      <c r="E525" s="11"/>
      <c r="F525" s="11"/>
      <c r="H525" s="3"/>
    </row>
    <row r="526" spans="2:8" x14ac:dyDescent="0.25">
      <c r="B526" s="8"/>
      <c r="E526" s="11"/>
      <c r="F526" s="11"/>
      <c r="H526" s="3"/>
    </row>
    <row r="527" spans="2:8" x14ac:dyDescent="0.25">
      <c r="B527" s="8"/>
      <c r="E527" s="11"/>
      <c r="F527" s="11"/>
      <c r="H527" s="3"/>
    </row>
    <row r="528" spans="2:8" x14ac:dyDescent="0.25">
      <c r="B528" s="8"/>
      <c r="E528" s="11"/>
      <c r="F528" s="11"/>
      <c r="H528" s="3"/>
    </row>
    <row r="529" spans="2:8" x14ac:dyDescent="0.25">
      <c r="B529" s="8"/>
      <c r="E529" s="11"/>
      <c r="F529" s="11"/>
      <c r="H529" s="3"/>
    </row>
    <row r="530" spans="2:8" x14ac:dyDescent="0.25">
      <c r="B530" s="8"/>
      <c r="E530" s="11"/>
      <c r="F530" s="11"/>
      <c r="H530" s="3"/>
    </row>
    <row r="531" spans="2:8" x14ac:dyDescent="0.25">
      <c r="B531" s="8"/>
      <c r="E531" s="11"/>
      <c r="F531" s="11"/>
      <c r="H531" s="3"/>
    </row>
    <row r="532" spans="2:8" x14ac:dyDescent="0.25">
      <c r="B532" s="8"/>
      <c r="E532" s="11"/>
      <c r="F532" s="11"/>
      <c r="H532" s="3"/>
    </row>
    <row r="533" spans="2:8" x14ac:dyDescent="0.25">
      <c r="B533" s="8"/>
      <c r="E533" s="11"/>
      <c r="F533" s="11"/>
      <c r="H533" s="3"/>
    </row>
    <row r="534" spans="2:8" x14ac:dyDescent="0.25">
      <c r="B534" s="8"/>
      <c r="E534" s="11"/>
      <c r="F534" s="11"/>
      <c r="H534" s="3"/>
    </row>
    <row r="535" spans="2:8" x14ac:dyDescent="0.25">
      <c r="B535" s="8"/>
      <c r="E535" s="11"/>
      <c r="F535" s="11"/>
      <c r="H535" s="3"/>
    </row>
    <row r="536" spans="2:8" x14ac:dyDescent="0.25">
      <c r="B536" s="8"/>
      <c r="E536" s="11"/>
      <c r="F536" s="11"/>
      <c r="H536" s="3"/>
    </row>
    <row r="537" spans="2:8" x14ac:dyDescent="0.25">
      <c r="B537" s="8"/>
      <c r="E537" s="11"/>
      <c r="F537" s="11"/>
      <c r="H537" s="3"/>
    </row>
    <row r="538" spans="2:8" x14ac:dyDescent="0.25">
      <c r="B538" s="8"/>
      <c r="E538" s="11"/>
      <c r="F538" s="11"/>
      <c r="H538" s="3"/>
    </row>
    <row r="539" spans="2:8" x14ac:dyDescent="0.25">
      <c r="B539" s="8"/>
      <c r="E539" s="11"/>
      <c r="F539" s="11"/>
      <c r="H539" s="3"/>
    </row>
    <row r="540" spans="2:8" x14ac:dyDescent="0.25">
      <c r="B540" s="8"/>
      <c r="E540" s="11"/>
      <c r="F540" s="11"/>
      <c r="H540" s="3"/>
    </row>
    <row r="541" spans="2:8" x14ac:dyDescent="0.25">
      <c r="B541" s="8"/>
      <c r="E541" s="11"/>
      <c r="F541" s="11"/>
      <c r="H541" s="3"/>
    </row>
    <row r="542" spans="2:8" x14ac:dyDescent="0.25">
      <c r="B542" s="8"/>
      <c r="E542" s="11"/>
      <c r="F542" s="11"/>
      <c r="H542" s="3"/>
    </row>
    <row r="543" spans="2:8" x14ac:dyDescent="0.25">
      <c r="B543" s="8"/>
      <c r="E543" s="11"/>
      <c r="F543" s="11"/>
      <c r="H543" s="3"/>
    </row>
    <row r="544" spans="2:8" x14ac:dyDescent="0.25">
      <c r="B544" s="8"/>
      <c r="E544" s="11"/>
      <c r="F544" s="11"/>
      <c r="H544" s="3"/>
    </row>
    <row r="545" spans="2:8" x14ac:dyDescent="0.25">
      <c r="B545" s="8"/>
      <c r="E545" s="11"/>
      <c r="F545" s="11"/>
      <c r="H545" s="3"/>
    </row>
    <row r="546" spans="2:8" x14ac:dyDescent="0.25">
      <c r="B546" s="8"/>
      <c r="E546" s="11"/>
      <c r="F546" s="11"/>
      <c r="H546" s="3"/>
    </row>
    <row r="547" spans="2:8" x14ac:dyDescent="0.25">
      <c r="B547" s="8"/>
      <c r="E547" s="11"/>
      <c r="F547" s="11"/>
      <c r="H547" s="3"/>
    </row>
    <row r="548" spans="2:8" x14ac:dyDescent="0.25">
      <c r="B548" s="8"/>
      <c r="E548" s="11"/>
      <c r="F548" s="11"/>
      <c r="H548" s="3"/>
    </row>
    <row r="549" spans="2:8" x14ac:dyDescent="0.25">
      <c r="B549" s="8"/>
      <c r="E549" s="11"/>
      <c r="F549" s="11"/>
      <c r="H549" s="3"/>
    </row>
    <row r="550" spans="2:8" x14ac:dyDescent="0.25">
      <c r="B550" s="8"/>
      <c r="E550" s="11"/>
      <c r="F550" s="11"/>
      <c r="H550" s="3"/>
    </row>
    <row r="551" spans="2:8" x14ac:dyDescent="0.25">
      <c r="B551" s="8"/>
      <c r="E551" s="11"/>
      <c r="F551" s="11"/>
      <c r="H551" s="3"/>
    </row>
    <row r="552" spans="2:8" x14ac:dyDescent="0.25">
      <c r="B552" s="8"/>
      <c r="E552" s="11"/>
      <c r="F552" s="11"/>
      <c r="H552" s="3"/>
    </row>
    <row r="553" spans="2:8" x14ac:dyDescent="0.25">
      <c r="B553" s="8"/>
      <c r="E553" s="11"/>
      <c r="F553" s="11"/>
      <c r="H553" s="3"/>
    </row>
    <row r="554" spans="2:8" x14ac:dyDescent="0.25">
      <c r="B554" s="8"/>
      <c r="E554" s="11"/>
      <c r="F554" s="11"/>
      <c r="H554" s="3"/>
    </row>
    <row r="555" spans="2:8" x14ac:dyDescent="0.25">
      <c r="B555" s="8"/>
      <c r="E555" s="11"/>
      <c r="F555" s="11"/>
      <c r="H555" s="3"/>
    </row>
    <row r="556" spans="2:8" x14ac:dyDescent="0.25">
      <c r="B556" s="8"/>
      <c r="E556" s="11"/>
      <c r="F556" s="11"/>
      <c r="H556" s="3"/>
    </row>
    <row r="557" spans="2:8" x14ac:dyDescent="0.25">
      <c r="B557" s="8"/>
      <c r="E557" s="11"/>
      <c r="F557" s="11"/>
      <c r="H557" s="3"/>
    </row>
    <row r="558" spans="2:8" x14ac:dyDescent="0.25">
      <c r="B558" s="8"/>
      <c r="E558" s="11"/>
      <c r="F558" s="11"/>
      <c r="H558" s="3"/>
    </row>
    <row r="559" spans="2:8" x14ac:dyDescent="0.25">
      <c r="B559" s="8"/>
      <c r="E559" s="11"/>
      <c r="F559" s="11"/>
      <c r="H559" s="3"/>
    </row>
    <row r="560" spans="2:8" x14ac:dyDescent="0.25">
      <c r="B560" s="8"/>
      <c r="E560" s="11"/>
      <c r="F560" s="11"/>
      <c r="H560" s="3"/>
    </row>
    <row r="561" spans="2:8" x14ac:dyDescent="0.25">
      <c r="B561" s="8"/>
      <c r="E561" s="11"/>
      <c r="F561" s="11"/>
      <c r="H561" s="3"/>
    </row>
    <row r="562" spans="2:8" x14ac:dyDescent="0.25">
      <c r="B562" s="8"/>
      <c r="E562" s="11"/>
      <c r="F562" s="11"/>
      <c r="H562" s="3"/>
    </row>
    <row r="563" spans="2:8" x14ac:dyDescent="0.25">
      <c r="B563" s="8"/>
      <c r="E563" s="11"/>
      <c r="F563" s="11"/>
      <c r="H563" s="3"/>
    </row>
    <row r="564" spans="2:8" x14ac:dyDescent="0.25">
      <c r="B564" s="8"/>
      <c r="E564" s="11"/>
      <c r="F564" s="11"/>
      <c r="H564" s="3"/>
    </row>
    <row r="565" spans="2:8" x14ac:dyDescent="0.25">
      <c r="B565" s="8"/>
      <c r="E565" s="11"/>
      <c r="F565" s="11"/>
      <c r="H565" s="3"/>
    </row>
    <row r="566" spans="2:8" x14ac:dyDescent="0.25">
      <c r="B566" s="8"/>
      <c r="E566" s="11"/>
      <c r="F566" s="11"/>
      <c r="H566" s="3"/>
    </row>
    <row r="567" spans="2:8" x14ac:dyDescent="0.25">
      <c r="B567" s="8"/>
      <c r="E567" s="11"/>
      <c r="F567" s="11"/>
      <c r="H567" s="3"/>
    </row>
    <row r="568" spans="2:8" x14ac:dyDescent="0.25">
      <c r="B568" s="8"/>
      <c r="E568" s="11"/>
      <c r="F568" s="11"/>
      <c r="H568" s="3"/>
    </row>
    <row r="569" spans="2:8" x14ac:dyDescent="0.25">
      <c r="B569" s="8"/>
      <c r="E569" s="11"/>
      <c r="F569" s="11"/>
      <c r="H569" s="3"/>
    </row>
    <row r="570" spans="2:8" x14ac:dyDescent="0.25">
      <c r="B570" s="8"/>
      <c r="E570" s="11"/>
      <c r="F570" s="11"/>
      <c r="H570" s="3"/>
    </row>
    <row r="571" spans="2:8" x14ac:dyDescent="0.25">
      <c r="B571" s="8"/>
      <c r="E571" s="11"/>
      <c r="F571" s="11"/>
      <c r="H571" s="3"/>
    </row>
    <row r="572" spans="2:8" x14ac:dyDescent="0.25">
      <c r="B572" s="8"/>
      <c r="E572" s="11"/>
      <c r="F572" s="11"/>
      <c r="H572" s="3"/>
    </row>
    <row r="573" spans="2:8" x14ac:dyDescent="0.25">
      <c r="B573" s="8"/>
      <c r="E573" s="11"/>
      <c r="F573" s="11"/>
      <c r="H573" s="3"/>
    </row>
    <row r="574" spans="2:8" x14ac:dyDescent="0.25">
      <c r="B574" s="8"/>
      <c r="E574" s="11"/>
      <c r="F574" s="11"/>
      <c r="H574" s="3"/>
    </row>
    <row r="575" spans="2:8" x14ac:dyDescent="0.25">
      <c r="B575" s="8"/>
      <c r="E575" s="11"/>
      <c r="F575" s="11"/>
      <c r="H575" s="3"/>
    </row>
    <row r="576" spans="2:8" x14ac:dyDescent="0.25">
      <c r="B576" s="8"/>
      <c r="E576" s="11"/>
      <c r="F576" s="11"/>
      <c r="H576" s="3"/>
    </row>
    <row r="577" spans="2:8" x14ac:dyDescent="0.25">
      <c r="B577" s="8"/>
      <c r="E577" s="11"/>
      <c r="F577" s="11"/>
      <c r="H577" s="3"/>
    </row>
    <row r="578" spans="2:8" x14ac:dyDescent="0.25">
      <c r="B578" s="8"/>
      <c r="E578" s="11"/>
      <c r="F578" s="11"/>
      <c r="H578" s="3"/>
    </row>
    <row r="579" spans="2:8" x14ac:dyDescent="0.25">
      <c r="B579" s="8"/>
      <c r="E579" s="11"/>
      <c r="F579" s="11"/>
      <c r="H579" s="3"/>
    </row>
    <row r="580" spans="2:8" x14ac:dyDescent="0.25">
      <c r="B580" s="8"/>
      <c r="E580" s="11"/>
      <c r="F580" s="11"/>
      <c r="H580" s="3"/>
    </row>
    <row r="581" spans="2:8" x14ac:dyDescent="0.25">
      <c r="B581" s="8"/>
      <c r="E581" s="11"/>
      <c r="F581" s="11"/>
      <c r="H581" s="3"/>
    </row>
    <row r="582" spans="2:8" x14ac:dyDescent="0.25">
      <c r="B582" s="8"/>
      <c r="E582" s="11"/>
      <c r="F582" s="11"/>
      <c r="H582" s="3"/>
    </row>
    <row r="583" spans="2:8" x14ac:dyDescent="0.25">
      <c r="B583" s="8"/>
      <c r="E583" s="11"/>
      <c r="F583" s="11"/>
      <c r="H583" s="3"/>
    </row>
    <row r="584" spans="2:8" x14ac:dyDescent="0.25">
      <c r="B584" s="8"/>
      <c r="E584" s="11"/>
      <c r="F584" s="11"/>
      <c r="H584" s="3"/>
    </row>
    <row r="585" spans="2:8" x14ac:dyDescent="0.25">
      <c r="B585" s="8"/>
      <c r="E585" s="11"/>
      <c r="F585" s="11"/>
      <c r="H585" s="3"/>
    </row>
    <row r="586" spans="2:8" x14ac:dyDescent="0.25">
      <c r="B586" s="8"/>
      <c r="E586" s="11"/>
      <c r="F586" s="11"/>
      <c r="H586" s="3"/>
    </row>
    <row r="587" spans="2:8" x14ac:dyDescent="0.25">
      <c r="B587" s="8"/>
      <c r="E587" s="11"/>
      <c r="F587" s="11"/>
      <c r="H587" s="3"/>
    </row>
    <row r="588" spans="2:8" x14ac:dyDescent="0.25">
      <c r="B588" s="8"/>
      <c r="E588" s="11"/>
      <c r="F588" s="11"/>
      <c r="H588" s="3"/>
    </row>
    <row r="589" spans="2:8" x14ac:dyDescent="0.25">
      <c r="B589" s="8"/>
      <c r="E589" s="11"/>
      <c r="F589" s="11"/>
      <c r="H589" s="3"/>
    </row>
    <row r="590" spans="2:8" x14ac:dyDescent="0.25">
      <c r="B590" s="8"/>
      <c r="E590" s="11"/>
      <c r="F590" s="11"/>
      <c r="H590" s="3"/>
    </row>
    <row r="591" spans="2:8" x14ac:dyDescent="0.25">
      <c r="B591" s="8"/>
      <c r="E591" s="11"/>
      <c r="F591" s="11"/>
      <c r="H591" s="3"/>
    </row>
    <row r="592" spans="2:8" x14ac:dyDescent="0.25">
      <c r="B592" s="8"/>
      <c r="E592" s="11"/>
      <c r="F592" s="11"/>
      <c r="H592" s="3"/>
    </row>
    <row r="593" spans="2:8" x14ac:dyDescent="0.25">
      <c r="B593" s="8"/>
      <c r="E593" s="11"/>
      <c r="F593" s="11"/>
      <c r="H593" s="3"/>
    </row>
    <row r="594" spans="2:8" x14ac:dyDescent="0.25">
      <c r="B594" s="8"/>
      <c r="E594" s="11"/>
      <c r="F594" s="11"/>
      <c r="H594" s="3"/>
    </row>
    <row r="595" spans="2:8" x14ac:dyDescent="0.25">
      <c r="B595" s="8"/>
      <c r="E595" s="11"/>
      <c r="F595" s="11"/>
      <c r="H595" s="3"/>
    </row>
    <row r="596" spans="2:8" x14ac:dyDescent="0.25">
      <c r="B596" s="8"/>
      <c r="E596" s="11"/>
      <c r="F596" s="11"/>
      <c r="H596" s="3"/>
    </row>
    <row r="597" spans="2:8" x14ac:dyDescent="0.25">
      <c r="B597" s="8"/>
      <c r="E597" s="11"/>
      <c r="F597" s="11"/>
      <c r="H597" s="3"/>
    </row>
    <row r="598" spans="2:8" x14ac:dyDescent="0.25">
      <c r="B598" s="8"/>
      <c r="E598" s="11"/>
      <c r="F598" s="11"/>
      <c r="H598" s="3"/>
    </row>
    <row r="599" spans="2:8" x14ac:dyDescent="0.25">
      <c r="B599" s="8"/>
      <c r="E599" s="11"/>
      <c r="F599" s="11"/>
      <c r="H599" s="3"/>
    </row>
    <row r="600" spans="2:8" x14ac:dyDescent="0.25">
      <c r="B600" s="8"/>
      <c r="E600" s="11"/>
      <c r="F600" s="11"/>
      <c r="H600" s="3"/>
    </row>
    <row r="601" spans="2:8" x14ac:dyDescent="0.25">
      <c r="B601" s="8"/>
      <c r="E601" s="11"/>
      <c r="F601" s="11"/>
      <c r="H601" s="3"/>
    </row>
    <row r="602" spans="2:8" x14ac:dyDescent="0.25">
      <c r="B602" s="8"/>
      <c r="E602" s="11"/>
      <c r="F602" s="11"/>
      <c r="H602" s="3"/>
    </row>
    <row r="603" spans="2:8" x14ac:dyDescent="0.25">
      <c r="B603" s="8"/>
      <c r="E603" s="11"/>
      <c r="F603" s="11"/>
      <c r="H603" s="3"/>
    </row>
    <row r="604" spans="2:8" x14ac:dyDescent="0.25">
      <c r="B604" s="8"/>
      <c r="E604" s="11"/>
      <c r="F604" s="11"/>
      <c r="H604" s="3"/>
    </row>
    <row r="605" spans="2:8" x14ac:dyDescent="0.25">
      <c r="B605" s="8"/>
      <c r="E605" s="11"/>
      <c r="F605" s="11"/>
      <c r="H605" s="3"/>
    </row>
    <row r="606" spans="2:8" x14ac:dyDescent="0.25">
      <c r="B606" s="8"/>
      <c r="E606" s="11"/>
      <c r="F606" s="11"/>
      <c r="H606" s="3"/>
    </row>
    <row r="607" spans="2:8" x14ac:dyDescent="0.25">
      <c r="B607" s="8"/>
      <c r="E607" s="11"/>
      <c r="F607" s="11"/>
      <c r="H607" s="3"/>
    </row>
    <row r="608" spans="2:8" x14ac:dyDescent="0.25">
      <c r="B608" s="8"/>
      <c r="E608" s="11"/>
      <c r="F608" s="11"/>
      <c r="H608" s="3"/>
    </row>
    <row r="609" spans="2:8" x14ac:dyDescent="0.25">
      <c r="B609" s="8"/>
      <c r="E609" s="11"/>
      <c r="F609" s="11"/>
      <c r="H609" s="3"/>
    </row>
    <row r="610" spans="2:8" x14ac:dyDescent="0.25">
      <c r="B610" s="8"/>
      <c r="E610" s="11"/>
      <c r="F610" s="11"/>
      <c r="H610" s="3"/>
    </row>
    <row r="611" spans="2:8" x14ac:dyDescent="0.25">
      <c r="B611" s="8"/>
      <c r="E611" s="11"/>
      <c r="F611" s="11"/>
      <c r="H611" s="3"/>
    </row>
    <row r="612" spans="2:8" x14ac:dyDescent="0.25">
      <c r="B612" s="8"/>
      <c r="E612" s="11"/>
      <c r="F612" s="11"/>
      <c r="H612" s="3"/>
    </row>
    <row r="613" spans="2:8" x14ac:dyDescent="0.25">
      <c r="B613" s="8"/>
      <c r="E613" s="11"/>
      <c r="F613" s="11"/>
      <c r="H613" s="3"/>
    </row>
    <row r="614" spans="2:8" x14ac:dyDescent="0.25">
      <c r="B614" s="8"/>
      <c r="E614" s="11"/>
      <c r="F614" s="11"/>
      <c r="H614" s="3"/>
    </row>
    <row r="615" spans="2:8" x14ac:dyDescent="0.25">
      <c r="B615" s="8"/>
      <c r="E615" s="11"/>
      <c r="F615" s="11"/>
      <c r="H615" s="3"/>
    </row>
    <row r="616" spans="2:8" x14ac:dyDescent="0.25">
      <c r="B616" s="8"/>
      <c r="E616" s="11"/>
      <c r="F616" s="11"/>
      <c r="H616" s="3"/>
    </row>
    <row r="617" spans="2:8" x14ac:dyDescent="0.25">
      <c r="B617" s="8"/>
      <c r="E617" s="11"/>
      <c r="F617" s="11"/>
      <c r="H617" s="3"/>
    </row>
    <row r="618" spans="2:8" x14ac:dyDescent="0.25">
      <c r="B618" s="8"/>
      <c r="E618" s="11"/>
      <c r="F618" s="11"/>
      <c r="H618" s="3"/>
    </row>
    <row r="619" spans="2:8" x14ac:dyDescent="0.25">
      <c r="B619" s="8"/>
      <c r="E619" s="11"/>
      <c r="F619" s="11"/>
      <c r="H619" s="3"/>
    </row>
    <row r="620" spans="2:8" x14ac:dyDescent="0.25">
      <c r="B620" s="8"/>
      <c r="E620" s="11"/>
      <c r="F620" s="11"/>
      <c r="H620" s="3"/>
    </row>
    <row r="621" spans="2:8" x14ac:dyDescent="0.25">
      <c r="B621" s="8"/>
      <c r="E621" s="11"/>
      <c r="F621" s="11"/>
      <c r="H621" s="3"/>
    </row>
    <row r="622" spans="2:8" x14ac:dyDescent="0.25">
      <c r="B622" s="8"/>
      <c r="E622" s="11"/>
      <c r="F622" s="11"/>
      <c r="H622" s="3"/>
    </row>
    <row r="623" spans="2:8" x14ac:dyDescent="0.25">
      <c r="B623" s="8"/>
      <c r="E623" s="11"/>
      <c r="F623" s="11"/>
      <c r="H623" s="3"/>
    </row>
    <row r="624" spans="2:8" x14ac:dyDescent="0.25">
      <c r="B624" s="8"/>
      <c r="E624" s="11"/>
      <c r="F624" s="11"/>
      <c r="H624" s="3"/>
    </row>
    <row r="625" spans="2:8" x14ac:dyDescent="0.25">
      <c r="B625" s="8"/>
      <c r="E625" s="11"/>
      <c r="F625" s="11"/>
      <c r="H625" s="3"/>
    </row>
    <row r="626" spans="2:8" x14ac:dyDescent="0.25">
      <c r="B626" s="8"/>
      <c r="E626" s="11"/>
      <c r="F626" s="11"/>
      <c r="H626" s="3"/>
    </row>
    <row r="627" spans="2:8" x14ac:dyDescent="0.25">
      <c r="B627" s="8"/>
      <c r="E627" s="11"/>
      <c r="F627" s="11"/>
      <c r="H627" s="3"/>
    </row>
    <row r="628" spans="2:8" x14ac:dyDescent="0.25">
      <c r="B628" s="8"/>
      <c r="E628" s="11"/>
      <c r="F628" s="11"/>
      <c r="H628" s="3"/>
    </row>
    <row r="629" spans="2:8" x14ac:dyDescent="0.25">
      <c r="B629" s="8"/>
      <c r="E629" s="11"/>
      <c r="F629" s="11"/>
      <c r="H629" s="3"/>
    </row>
    <row r="630" spans="2:8" x14ac:dyDescent="0.25">
      <c r="B630" s="8"/>
      <c r="E630" s="11"/>
      <c r="F630" s="11"/>
      <c r="H630" s="3"/>
    </row>
    <row r="631" spans="2:8" x14ac:dyDescent="0.25">
      <c r="B631" s="8"/>
      <c r="E631" s="11"/>
      <c r="F631" s="11"/>
      <c r="H631" s="3"/>
    </row>
    <row r="632" spans="2:8" x14ac:dyDescent="0.25">
      <c r="B632" s="8"/>
      <c r="E632" s="11"/>
      <c r="F632" s="11"/>
      <c r="H632" s="3"/>
    </row>
    <row r="633" spans="2:8" x14ac:dyDescent="0.25">
      <c r="B633" s="8"/>
      <c r="E633" s="11"/>
      <c r="F633" s="11"/>
      <c r="H633" s="3"/>
    </row>
    <row r="634" spans="2:8" x14ac:dyDescent="0.25">
      <c r="B634" s="8"/>
      <c r="E634" s="11"/>
      <c r="F634" s="11"/>
      <c r="H634" s="3"/>
    </row>
    <row r="635" spans="2:8" x14ac:dyDescent="0.25">
      <c r="B635" s="8"/>
      <c r="E635" s="11"/>
      <c r="F635" s="11"/>
      <c r="H635" s="3"/>
    </row>
    <row r="636" spans="2:8" x14ac:dyDescent="0.25">
      <c r="B636" s="8"/>
      <c r="E636" s="11"/>
      <c r="F636" s="11"/>
      <c r="H636" s="3"/>
    </row>
    <row r="637" spans="2:8" x14ac:dyDescent="0.25">
      <c r="B637" s="8"/>
      <c r="E637" s="11"/>
      <c r="F637" s="11"/>
      <c r="H637" s="3"/>
    </row>
    <row r="638" spans="2:8" x14ac:dyDescent="0.25">
      <c r="B638" s="8"/>
      <c r="E638" s="11"/>
      <c r="F638" s="11"/>
      <c r="H638" s="3"/>
    </row>
    <row r="639" spans="2:8" x14ac:dyDescent="0.25">
      <c r="B639" s="8"/>
      <c r="E639" s="11"/>
      <c r="F639" s="11"/>
      <c r="H639" s="3"/>
    </row>
    <row r="640" spans="2:8" x14ac:dyDescent="0.25">
      <c r="B640" s="8"/>
      <c r="E640" s="11"/>
      <c r="F640" s="11"/>
      <c r="H640" s="3"/>
    </row>
    <row r="641" spans="2:8" x14ac:dyDescent="0.25">
      <c r="B641" s="8"/>
      <c r="E641" s="11"/>
      <c r="F641" s="11"/>
      <c r="H641" s="3"/>
    </row>
    <row r="642" spans="2:8" x14ac:dyDescent="0.25">
      <c r="B642" s="8"/>
      <c r="E642" s="11"/>
      <c r="F642" s="11"/>
      <c r="H642" s="3"/>
    </row>
    <row r="643" spans="2:8" x14ac:dyDescent="0.25">
      <c r="B643" s="8"/>
      <c r="E643" s="11"/>
      <c r="F643" s="11"/>
      <c r="H643" s="3"/>
    </row>
    <row r="644" spans="2:8" x14ac:dyDescent="0.25">
      <c r="B644" s="8"/>
      <c r="E644" s="11"/>
      <c r="F644" s="11"/>
      <c r="H644" s="3"/>
    </row>
    <row r="645" spans="2:8" x14ac:dyDescent="0.25">
      <c r="B645" s="8"/>
      <c r="E645" s="11"/>
      <c r="F645" s="11"/>
      <c r="H645" s="3"/>
    </row>
    <row r="646" spans="2:8" x14ac:dyDescent="0.25">
      <c r="B646" s="8"/>
      <c r="E646" s="11"/>
      <c r="F646" s="11"/>
      <c r="H646" s="3"/>
    </row>
    <row r="647" spans="2:8" x14ac:dyDescent="0.25">
      <c r="B647" s="8"/>
      <c r="E647" s="11"/>
      <c r="F647" s="11"/>
      <c r="H647" s="3"/>
    </row>
    <row r="648" spans="2:8" x14ac:dyDescent="0.25">
      <c r="B648" s="8"/>
      <c r="E648" s="11"/>
      <c r="F648" s="11"/>
      <c r="H648" s="3"/>
    </row>
    <row r="649" spans="2:8" x14ac:dyDescent="0.25">
      <c r="B649" s="8"/>
      <c r="E649" s="11"/>
      <c r="F649" s="11"/>
      <c r="H649" s="3"/>
    </row>
    <row r="650" spans="2:8" x14ac:dyDescent="0.25">
      <c r="B650" s="8"/>
      <c r="E650" s="11"/>
      <c r="F650" s="11"/>
      <c r="H650" s="3"/>
    </row>
    <row r="651" spans="2:8" x14ac:dyDescent="0.25">
      <c r="B651" s="8"/>
      <c r="E651" s="11"/>
      <c r="F651" s="11"/>
      <c r="H651" s="3"/>
    </row>
    <row r="652" spans="2:8" x14ac:dyDescent="0.25">
      <c r="B652" s="8"/>
      <c r="E652" s="11"/>
      <c r="F652" s="11"/>
      <c r="H652" s="3"/>
    </row>
    <row r="653" spans="2:8" x14ac:dyDescent="0.25">
      <c r="B653" s="8"/>
      <c r="E653" s="11"/>
      <c r="F653" s="11"/>
      <c r="H653" s="3"/>
    </row>
    <row r="654" spans="2:8" x14ac:dyDescent="0.25">
      <c r="B654" s="8"/>
      <c r="E654" s="11"/>
      <c r="F654" s="11"/>
      <c r="H654" s="3"/>
    </row>
    <row r="655" spans="2:8" x14ac:dyDescent="0.25">
      <c r="B655" s="8"/>
      <c r="E655" s="11"/>
      <c r="F655" s="11"/>
      <c r="H655" s="3"/>
    </row>
    <row r="656" spans="2:8" x14ac:dyDescent="0.25">
      <c r="B656" s="8"/>
      <c r="E656" s="11"/>
      <c r="F656" s="11"/>
      <c r="H656" s="3"/>
    </row>
    <row r="657" spans="2:8" x14ac:dyDescent="0.25">
      <c r="B657" s="8"/>
      <c r="E657" s="11"/>
      <c r="F657" s="11"/>
      <c r="H657" s="3"/>
    </row>
    <row r="658" spans="2:8" x14ac:dyDescent="0.25">
      <c r="B658" s="8"/>
      <c r="E658" s="11"/>
      <c r="F658" s="11"/>
      <c r="H658" s="3"/>
    </row>
    <row r="659" spans="2:8" x14ac:dyDescent="0.25">
      <c r="B659" s="8"/>
      <c r="E659" s="11"/>
      <c r="F659" s="11"/>
      <c r="H659" s="3"/>
    </row>
    <row r="660" spans="2:8" x14ac:dyDescent="0.25">
      <c r="B660" s="8"/>
      <c r="E660" s="11"/>
      <c r="F660" s="11"/>
      <c r="H660" s="3"/>
    </row>
    <row r="661" spans="2:8" x14ac:dyDescent="0.25">
      <c r="B661" s="8"/>
      <c r="E661" s="11"/>
      <c r="F661" s="11"/>
      <c r="H661" s="3"/>
    </row>
    <row r="662" spans="2:8" x14ac:dyDescent="0.25">
      <c r="B662" s="8"/>
      <c r="E662" s="11"/>
      <c r="F662" s="11"/>
      <c r="H662" s="3"/>
    </row>
    <row r="663" spans="2:8" x14ac:dyDescent="0.25">
      <c r="B663" s="8"/>
      <c r="E663" s="11"/>
      <c r="F663" s="11"/>
      <c r="H663" s="3"/>
    </row>
    <row r="664" spans="2:8" x14ac:dyDescent="0.25">
      <c r="B664" s="8"/>
      <c r="E664" s="11"/>
      <c r="F664" s="11"/>
      <c r="H664" s="3"/>
    </row>
    <row r="665" spans="2:8" x14ac:dyDescent="0.25">
      <c r="B665" s="8"/>
      <c r="E665" s="11"/>
      <c r="F665" s="11"/>
      <c r="H665" s="3"/>
    </row>
    <row r="666" spans="2:8" x14ac:dyDescent="0.25">
      <c r="B666" s="8"/>
      <c r="E666" s="11"/>
      <c r="F666" s="11"/>
      <c r="H666" s="3"/>
    </row>
    <row r="667" spans="2:8" x14ac:dyDescent="0.25">
      <c r="B667" s="8"/>
      <c r="E667" s="11"/>
      <c r="F667" s="11"/>
      <c r="H667" s="3"/>
    </row>
    <row r="668" spans="2:8" x14ac:dyDescent="0.25">
      <c r="B668" s="8"/>
      <c r="E668" s="11"/>
      <c r="F668" s="11"/>
      <c r="H668" s="3"/>
    </row>
    <row r="669" spans="2:8" x14ac:dyDescent="0.25">
      <c r="B669" s="8"/>
      <c r="E669" s="11"/>
      <c r="F669" s="11"/>
      <c r="H669" s="3"/>
    </row>
    <row r="670" spans="2:8" x14ac:dyDescent="0.25">
      <c r="B670" s="8"/>
      <c r="E670" s="11"/>
      <c r="F670" s="11"/>
      <c r="H670" s="3"/>
    </row>
    <row r="671" spans="2:8" x14ac:dyDescent="0.25">
      <c r="B671" s="8"/>
      <c r="E671" s="11"/>
      <c r="F671" s="11"/>
      <c r="H671" s="3"/>
    </row>
    <row r="672" spans="2:8" x14ac:dyDescent="0.25">
      <c r="B672" s="8"/>
      <c r="E672" s="11"/>
      <c r="F672" s="11"/>
      <c r="H672" s="3"/>
    </row>
    <row r="673" spans="2:8" x14ac:dyDescent="0.25">
      <c r="B673" s="8"/>
      <c r="E673" s="11"/>
      <c r="F673" s="11"/>
      <c r="H673" s="3"/>
    </row>
    <row r="674" spans="2:8" x14ac:dyDescent="0.25">
      <c r="B674" s="8"/>
      <c r="E674" s="11"/>
      <c r="F674" s="11"/>
      <c r="H674" s="3"/>
    </row>
    <row r="675" spans="2:8" x14ac:dyDescent="0.25">
      <c r="B675" s="8"/>
      <c r="E675" s="11"/>
      <c r="F675" s="11"/>
      <c r="H675" s="3"/>
    </row>
    <row r="676" spans="2:8" x14ac:dyDescent="0.25">
      <c r="B676" s="8"/>
      <c r="E676" s="11"/>
      <c r="F676" s="11"/>
      <c r="H676" s="3"/>
    </row>
    <row r="677" spans="2:8" x14ac:dyDescent="0.25">
      <c r="B677" s="8"/>
      <c r="E677" s="11"/>
      <c r="F677" s="11"/>
      <c r="H677" s="3"/>
    </row>
    <row r="678" spans="2:8" x14ac:dyDescent="0.25">
      <c r="B678" s="8"/>
      <c r="E678" s="11"/>
      <c r="F678" s="11"/>
      <c r="H678" s="3"/>
    </row>
    <row r="679" spans="2:8" x14ac:dyDescent="0.25">
      <c r="B679" s="8"/>
      <c r="E679" s="11"/>
      <c r="F679" s="11"/>
      <c r="H679" s="3"/>
    </row>
    <row r="680" spans="2:8" x14ac:dyDescent="0.25">
      <c r="B680" s="8"/>
      <c r="E680" s="11"/>
      <c r="F680" s="11"/>
      <c r="H680" s="3"/>
    </row>
    <row r="681" spans="2:8" x14ac:dyDescent="0.25">
      <c r="B681" s="8"/>
      <c r="E681" s="11"/>
      <c r="F681" s="11"/>
      <c r="H681" s="3"/>
    </row>
    <row r="682" spans="2:8" x14ac:dyDescent="0.25">
      <c r="B682" s="8"/>
      <c r="E682" s="11"/>
      <c r="F682" s="11"/>
      <c r="H682" s="3"/>
    </row>
    <row r="683" spans="2:8" x14ac:dyDescent="0.25">
      <c r="B683" s="8"/>
      <c r="E683" s="11"/>
      <c r="F683" s="11"/>
      <c r="H683" s="3"/>
    </row>
    <row r="684" spans="2:8" x14ac:dyDescent="0.25">
      <c r="B684" s="8"/>
      <c r="E684" s="11"/>
      <c r="F684" s="11"/>
      <c r="H684" s="3"/>
    </row>
    <row r="685" spans="2:8" x14ac:dyDescent="0.25">
      <c r="B685" s="8"/>
      <c r="E685" s="11"/>
      <c r="F685" s="11"/>
      <c r="H685" s="3"/>
    </row>
    <row r="686" spans="2:8" x14ac:dyDescent="0.25">
      <c r="B686" s="8"/>
      <c r="E686" s="11"/>
      <c r="F686" s="11"/>
      <c r="H686" s="3"/>
    </row>
    <row r="687" spans="2:8" x14ac:dyDescent="0.25">
      <c r="B687" s="8"/>
      <c r="E687" s="11"/>
      <c r="F687" s="11"/>
      <c r="H687" s="3"/>
    </row>
    <row r="688" spans="2:8" x14ac:dyDescent="0.25">
      <c r="B688" s="8"/>
      <c r="E688" s="11"/>
      <c r="F688" s="11"/>
      <c r="H688" s="3"/>
    </row>
    <row r="689" spans="2:8" x14ac:dyDescent="0.25">
      <c r="B689" s="8"/>
      <c r="E689" s="11"/>
      <c r="F689" s="11"/>
      <c r="H689" s="3"/>
    </row>
    <row r="690" spans="2:8" x14ac:dyDescent="0.25">
      <c r="B690" s="8"/>
      <c r="E690" s="11"/>
      <c r="F690" s="11"/>
      <c r="H690" s="3"/>
    </row>
    <row r="691" spans="2:8" x14ac:dyDescent="0.25">
      <c r="B691" s="8"/>
      <c r="E691" s="11"/>
      <c r="F691" s="11"/>
      <c r="H691" s="3"/>
    </row>
    <row r="692" spans="2:8" x14ac:dyDescent="0.25">
      <c r="B692" s="8"/>
      <c r="E692" s="11"/>
      <c r="F692" s="11"/>
      <c r="H692" s="3"/>
    </row>
    <row r="693" spans="2:8" x14ac:dyDescent="0.25">
      <c r="B693" s="8"/>
      <c r="E693" s="11"/>
      <c r="F693" s="11"/>
      <c r="H693" s="3"/>
    </row>
    <row r="694" spans="2:8" x14ac:dyDescent="0.25">
      <c r="B694" s="8"/>
      <c r="E694" s="11"/>
      <c r="F694" s="11"/>
      <c r="H694" s="3"/>
    </row>
    <row r="695" spans="2:8" x14ac:dyDescent="0.25">
      <c r="B695" s="8"/>
      <c r="E695" s="11"/>
      <c r="F695" s="11"/>
      <c r="H695" s="3"/>
    </row>
    <row r="696" spans="2:8" x14ac:dyDescent="0.25">
      <c r="B696" s="8"/>
      <c r="E696" s="11"/>
      <c r="F696" s="11"/>
      <c r="H696" s="3"/>
    </row>
    <row r="697" spans="2:8" x14ac:dyDescent="0.25">
      <c r="B697" s="8"/>
      <c r="E697" s="11"/>
      <c r="F697" s="11"/>
      <c r="H697" s="3"/>
    </row>
    <row r="698" spans="2:8" x14ac:dyDescent="0.25">
      <c r="B698" s="8"/>
      <c r="E698" s="11"/>
      <c r="F698" s="11"/>
      <c r="H698" s="3"/>
    </row>
    <row r="699" spans="2:8" x14ac:dyDescent="0.25">
      <c r="B699" s="8"/>
      <c r="E699" s="11"/>
      <c r="F699" s="11"/>
      <c r="H699" s="3"/>
    </row>
    <row r="700" spans="2:8" x14ac:dyDescent="0.25">
      <c r="B700" s="8"/>
      <c r="E700" s="11"/>
      <c r="F700" s="11"/>
      <c r="H700" s="3"/>
    </row>
    <row r="701" spans="2:8" x14ac:dyDescent="0.25">
      <c r="B701" s="8"/>
      <c r="E701" s="11"/>
      <c r="F701" s="11"/>
      <c r="H701" s="3"/>
    </row>
    <row r="702" spans="2:8" x14ac:dyDescent="0.25">
      <c r="B702" s="8"/>
      <c r="E702" s="11"/>
      <c r="F702" s="11"/>
      <c r="H702" s="3"/>
    </row>
    <row r="703" spans="2:8" x14ac:dyDescent="0.25">
      <c r="B703" s="8"/>
      <c r="E703" s="11"/>
      <c r="F703" s="11"/>
      <c r="H703" s="3"/>
    </row>
    <row r="704" spans="2:8" x14ac:dyDescent="0.25">
      <c r="B704" s="8"/>
      <c r="E704" s="11"/>
      <c r="F704" s="11"/>
      <c r="H704" s="3"/>
    </row>
    <row r="705" spans="2:8" x14ac:dyDescent="0.25">
      <c r="B705" s="8"/>
      <c r="E705" s="11"/>
      <c r="F705" s="11"/>
      <c r="H705" s="3"/>
    </row>
    <row r="706" spans="2:8" x14ac:dyDescent="0.25">
      <c r="B706" s="8"/>
      <c r="E706" s="11"/>
      <c r="F706" s="11"/>
      <c r="H706" s="3"/>
    </row>
    <row r="707" spans="2:8" x14ac:dyDescent="0.25">
      <c r="B707" s="8"/>
      <c r="E707" s="11"/>
      <c r="F707" s="11"/>
      <c r="H707" s="3"/>
    </row>
    <row r="708" spans="2:8" x14ac:dyDescent="0.25">
      <c r="B708" s="8"/>
      <c r="E708" s="11"/>
      <c r="F708" s="11"/>
      <c r="H708" s="3"/>
    </row>
    <row r="709" spans="2:8" x14ac:dyDescent="0.25">
      <c r="B709" s="8"/>
      <c r="E709" s="11"/>
      <c r="F709" s="11"/>
      <c r="H709" s="3"/>
    </row>
    <row r="710" spans="2:8" x14ac:dyDescent="0.25">
      <c r="B710" s="8"/>
      <c r="E710" s="11"/>
      <c r="F710" s="11"/>
      <c r="H710" s="3"/>
    </row>
    <row r="711" spans="2:8" x14ac:dyDescent="0.25">
      <c r="B711" s="8"/>
      <c r="E711" s="11"/>
      <c r="F711" s="11"/>
      <c r="H711" s="3"/>
    </row>
    <row r="712" spans="2:8" x14ac:dyDescent="0.25">
      <c r="B712" s="8"/>
      <c r="E712" s="11"/>
      <c r="F712" s="11"/>
      <c r="H712" s="3"/>
    </row>
    <row r="713" spans="2:8" x14ac:dyDescent="0.25">
      <c r="B713" s="8"/>
      <c r="E713" s="11"/>
      <c r="F713" s="11"/>
      <c r="H713" s="3"/>
    </row>
    <row r="714" spans="2:8" x14ac:dyDescent="0.25">
      <c r="B714" s="8"/>
      <c r="E714" s="11"/>
      <c r="F714" s="11"/>
      <c r="H714" s="3"/>
    </row>
    <row r="715" spans="2:8" x14ac:dyDescent="0.25">
      <c r="B715" s="8"/>
      <c r="E715" s="11"/>
      <c r="F715" s="11"/>
      <c r="H715" s="3"/>
    </row>
    <row r="716" spans="2:8" x14ac:dyDescent="0.25">
      <c r="B716" s="8"/>
      <c r="E716" s="11"/>
      <c r="F716" s="11"/>
      <c r="H716" s="3"/>
    </row>
    <row r="717" spans="2:8" x14ac:dyDescent="0.25">
      <c r="B717" s="8"/>
      <c r="E717" s="11"/>
      <c r="F717" s="11"/>
      <c r="H717" s="3"/>
    </row>
    <row r="718" spans="2:8" x14ac:dyDescent="0.25">
      <c r="B718" s="8"/>
      <c r="E718" s="11"/>
      <c r="F718" s="11"/>
      <c r="H718" s="3"/>
    </row>
    <row r="719" spans="2:8" x14ac:dyDescent="0.25">
      <c r="B719" s="8"/>
      <c r="E719" s="11"/>
      <c r="F719" s="11"/>
      <c r="H719" s="3"/>
    </row>
    <row r="720" spans="2:8" x14ac:dyDescent="0.25">
      <c r="B720" s="8"/>
      <c r="E720" s="11"/>
      <c r="F720" s="11"/>
      <c r="H720" s="3"/>
    </row>
    <row r="721" spans="2:8" x14ac:dyDescent="0.25">
      <c r="B721" s="8"/>
      <c r="E721" s="11"/>
      <c r="F721" s="11"/>
      <c r="H721" s="3"/>
    </row>
    <row r="722" spans="2:8" x14ac:dyDescent="0.25">
      <c r="B722" s="8"/>
      <c r="E722" s="11"/>
      <c r="F722" s="11"/>
      <c r="H722" s="3"/>
    </row>
    <row r="723" spans="2:8" x14ac:dyDescent="0.25">
      <c r="B723" s="8"/>
      <c r="E723" s="11"/>
      <c r="F723" s="11"/>
      <c r="H723" s="3"/>
    </row>
    <row r="724" spans="2:8" x14ac:dyDescent="0.25">
      <c r="B724" s="8"/>
      <c r="E724" s="11"/>
      <c r="F724" s="11"/>
      <c r="H724" s="3"/>
    </row>
    <row r="725" spans="2:8" x14ac:dyDescent="0.25">
      <c r="B725" s="8"/>
      <c r="E725" s="11"/>
      <c r="F725" s="11"/>
      <c r="H725" s="3"/>
    </row>
    <row r="726" spans="2:8" x14ac:dyDescent="0.25">
      <c r="B726" s="8"/>
      <c r="E726" s="11"/>
      <c r="F726" s="11"/>
      <c r="H726" s="3"/>
    </row>
    <row r="727" spans="2:8" x14ac:dyDescent="0.25">
      <c r="B727" s="8"/>
      <c r="E727" s="11"/>
      <c r="F727" s="11"/>
      <c r="H727" s="3"/>
    </row>
    <row r="728" spans="2:8" x14ac:dyDescent="0.25">
      <c r="B728" s="8"/>
      <c r="E728" s="11"/>
      <c r="F728" s="11"/>
      <c r="H728" s="3"/>
    </row>
    <row r="729" spans="2:8" x14ac:dyDescent="0.25">
      <c r="B729" s="8"/>
      <c r="E729" s="11"/>
      <c r="F729" s="11"/>
      <c r="H729" s="3"/>
    </row>
    <row r="730" spans="2:8" x14ac:dyDescent="0.25">
      <c r="B730" s="8"/>
      <c r="E730" s="11"/>
      <c r="F730" s="11"/>
      <c r="H730" s="3"/>
    </row>
    <row r="731" spans="2:8" x14ac:dyDescent="0.25">
      <c r="B731" s="8"/>
      <c r="E731" s="11"/>
      <c r="F731" s="11"/>
      <c r="H731" s="3"/>
    </row>
    <row r="732" spans="2:8" x14ac:dyDescent="0.25">
      <c r="B732" s="8"/>
      <c r="E732" s="11"/>
      <c r="F732" s="11"/>
      <c r="H732" s="3"/>
    </row>
    <row r="733" spans="2:8" x14ac:dyDescent="0.25">
      <c r="B733" s="8"/>
      <c r="E733" s="11"/>
      <c r="F733" s="11"/>
      <c r="H733" s="3"/>
    </row>
    <row r="734" spans="2:8" x14ac:dyDescent="0.25">
      <c r="B734" s="8"/>
      <c r="E734" s="11"/>
      <c r="F734" s="11"/>
      <c r="H734" s="3"/>
    </row>
    <row r="735" spans="2:8" x14ac:dyDescent="0.25">
      <c r="B735" s="8"/>
      <c r="E735" s="11"/>
      <c r="F735" s="11"/>
      <c r="H735" s="3"/>
    </row>
    <row r="736" spans="2:8" x14ac:dyDescent="0.25">
      <c r="B736" s="8"/>
      <c r="E736" s="11"/>
      <c r="F736" s="11"/>
      <c r="H736" s="3"/>
    </row>
    <row r="737" spans="2:8" x14ac:dyDescent="0.25">
      <c r="B737" s="8"/>
      <c r="E737" s="11"/>
      <c r="F737" s="11"/>
      <c r="H737" s="3"/>
    </row>
    <row r="738" spans="2:8" x14ac:dyDescent="0.25">
      <c r="B738" s="8"/>
      <c r="E738" s="11"/>
      <c r="F738" s="11"/>
      <c r="H738" s="3"/>
    </row>
    <row r="739" spans="2:8" x14ac:dyDescent="0.25">
      <c r="B739" s="8"/>
      <c r="E739" s="11"/>
      <c r="F739" s="11"/>
      <c r="H739" s="3"/>
    </row>
    <row r="740" spans="2:8" x14ac:dyDescent="0.25">
      <c r="B740" s="8"/>
      <c r="E740" s="11"/>
      <c r="F740" s="11"/>
      <c r="H740" s="3"/>
    </row>
    <row r="741" spans="2:8" x14ac:dyDescent="0.25">
      <c r="B741" s="8"/>
      <c r="E741" s="11"/>
      <c r="F741" s="11"/>
      <c r="H741" s="3"/>
    </row>
    <row r="742" spans="2:8" x14ac:dyDescent="0.25">
      <c r="B742" s="8"/>
      <c r="E742" s="11"/>
      <c r="F742" s="11"/>
      <c r="H742" s="3"/>
    </row>
    <row r="743" spans="2:8" x14ac:dyDescent="0.25">
      <c r="B743" s="8"/>
      <c r="E743" s="11"/>
      <c r="F743" s="11"/>
      <c r="H743" s="3"/>
    </row>
    <row r="744" spans="2:8" x14ac:dyDescent="0.25">
      <c r="B744" s="8"/>
      <c r="E744" s="11"/>
      <c r="F744" s="11"/>
      <c r="H744" s="3"/>
    </row>
    <row r="745" spans="2:8" x14ac:dyDescent="0.25">
      <c r="B745" s="8"/>
      <c r="E745" s="11"/>
      <c r="F745" s="11"/>
      <c r="H745" s="3"/>
    </row>
    <row r="746" spans="2:8" x14ac:dyDescent="0.25">
      <c r="B746" s="8"/>
      <c r="E746" s="11"/>
      <c r="F746" s="11"/>
      <c r="H746" s="3"/>
    </row>
    <row r="747" spans="2:8" x14ac:dyDescent="0.25">
      <c r="B747" s="8"/>
      <c r="E747" s="11"/>
      <c r="F747" s="11"/>
      <c r="H747" s="3"/>
    </row>
    <row r="748" spans="2:8" x14ac:dyDescent="0.25">
      <c r="B748" s="8"/>
      <c r="E748" s="11"/>
      <c r="F748" s="11"/>
      <c r="H748" s="3"/>
    </row>
    <row r="749" spans="2:8" x14ac:dyDescent="0.25">
      <c r="B749" s="8"/>
      <c r="E749" s="11"/>
      <c r="F749" s="11"/>
      <c r="H749" s="3"/>
    </row>
    <row r="750" spans="2:8" x14ac:dyDescent="0.25">
      <c r="B750" s="8"/>
      <c r="E750" s="11"/>
      <c r="F750" s="11"/>
      <c r="H750" s="3"/>
    </row>
    <row r="751" spans="2:8" x14ac:dyDescent="0.25">
      <c r="B751" s="8"/>
      <c r="E751" s="11"/>
      <c r="F751" s="11"/>
      <c r="H751" s="3"/>
    </row>
    <row r="752" spans="2:8" x14ac:dyDescent="0.25">
      <c r="B752" s="8"/>
      <c r="E752" s="11"/>
      <c r="F752" s="11"/>
      <c r="H752" s="3"/>
    </row>
    <row r="753" spans="2:8" x14ac:dyDescent="0.25">
      <c r="B753" s="8"/>
      <c r="E753" s="11"/>
      <c r="F753" s="11"/>
      <c r="H753" s="3"/>
    </row>
    <row r="754" spans="2:8" x14ac:dyDescent="0.25">
      <c r="B754" s="8"/>
      <c r="E754" s="11"/>
      <c r="F754" s="11"/>
      <c r="H754" s="3"/>
    </row>
    <row r="755" spans="2:8" x14ac:dyDescent="0.25">
      <c r="B755" s="8"/>
      <c r="E755" s="11"/>
      <c r="F755" s="11"/>
      <c r="H755" s="3"/>
    </row>
    <row r="756" spans="2:8" x14ac:dyDescent="0.25">
      <c r="B756" s="8"/>
      <c r="E756" s="11"/>
      <c r="F756" s="11"/>
      <c r="H756" s="3"/>
    </row>
    <row r="757" spans="2:8" x14ac:dyDescent="0.25">
      <c r="B757" s="8"/>
      <c r="E757" s="11"/>
      <c r="F757" s="11"/>
      <c r="H757" s="3"/>
    </row>
    <row r="758" spans="2:8" x14ac:dyDescent="0.25">
      <c r="B758" s="8"/>
      <c r="E758" s="11"/>
      <c r="F758" s="11"/>
      <c r="H758" s="3"/>
    </row>
    <row r="759" spans="2:8" x14ac:dyDescent="0.25">
      <c r="B759" s="8"/>
      <c r="E759" s="11"/>
      <c r="F759" s="11"/>
      <c r="H759" s="3"/>
    </row>
    <row r="760" spans="2:8" x14ac:dyDescent="0.25">
      <c r="B760" s="8"/>
      <c r="E760" s="11"/>
      <c r="F760" s="11"/>
      <c r="H760" s="3"/>
    </row>
    <row r="761" spans="2:8" x14ac:dyDescent="0.25">
      <c r="B761" s="8"/>
      <c r="E761" s="11"/>
      <c r="F761" s="11"/>
      <c r="H761" s="3"/>
    </row>
    <row r="762" spans="2:8" x14ac:dyDescent="0.25">
      <c r="B762" s="8"/>
      <c r="E762" s="11"/>
      <c r="F762" s="11"/>
      <c r="H762" s="3"/>
    </row>
    <row r="763" spans="2:8" x14ac:dyDescent="0.25">
      <c r="B763" s="8"/>
      <c r="E763" s="11"/>
      <c r="F763" s="11"/>
      <c r="H763" s="3"/>
    </row>
    <row r="764" spans="2:8" x14ac:dyDescent="0.25">
      <c r="B764" s="8"/>
      <c r="E764" s="11"/>
      <c r="F764" s="11"/>
      <c r="H764" s="3"/>
    </row>
    <row r="765" spans="2:8" x14ac:dyDescent="0.25">
      <c r="B765" s="8"/>
      <c r="E765" s="11"/>
      <c r="F765" s="11"/>
      <c r="H765" s="3"/>
    </row>
    <row r="766" spans="2:8" x14ac:dyDescent="0.25">
      <c r="B766" s="8"/>
      <c r="E766" s="11"/>
      <c r="F766" s="11"/>
      <c r="H766" s="3"/>
    </row>
    <row r="767" spans="2:8" x14ac:dyDescent="0.25">
      <c r="B767" s="8"/>
      <c r="E767" s="11"/>
      <c r="F767" s="11"/>
      <c r="H767" s="3"/>
    </row>
    <row r="768" spans="2:8" x14ac:dyDescent="0.25">
      <c r="B768" s="8"/>
      <c r="E768" s="11"/>
      <c r="F768" s="11"/>
      <c r="H768" s="3"/>
    </row>
    <row r="769" spans="2:8" x14ac:dyDescent="0.25">
      <c r="B769" s="8"/>
      <c r="E769" s="11"/>
      <c r="F769" s="11"/>
      <c r="H769" s="3"/>
    </row>
    <row r="770" spans="2:8" x14ac:dyDescent="0.25">
      <c r="B770" s="8"/>
      <c r="E770" s="11"/>
      <c r="F770" s="11"/>
      <c r="H770" s="3"/>
    </row>
    <row r="771" spans="2:8" x14ac:dyDescent="0.25">
      <c r="B771" s="8"/>
      <c r="E771" s="11"/>
      <c r="F771" s="11"/>
      <c r="H771" s="3"/>
    </row>
    <row r="772" spans="2:8" x14ac:dyDescent="0.25">
      <c r="B772" s="8"/>
      <c r="E772" s="11"/>
      <c r="F772" s="11"/>
      <c r="H772" s="3"/>
    </row>
    <row r="773" spans="2:8" x14ac:dyDescent="0.25">
      <c r="B773" s="8"/>
      <c r="E773" s="11"/>
      <c r="F773" s="11"/>
      <c r="H773" s="3"/>
    </row>
    <row r="774" spans="2:8" x14ac:dyDescent="0.25">
      <c r="B774" s="8"/>
      <c r="E774" s="11"/>
      <c r="F774" s="11"/>
      <c r="H774" s="3"/>
    </row>
    <row r="775" spans="2:8" x14ac:dyDescent="0.25">
      <c r="B775" s="8"/>
      <c r="E775" s="11"/>
      <c r="F775" s="11"/>
      <c r="H775" s="3"/>
    </row>
    <row r="776" spans="2:8" x14ac:dyDescent="0.25">
      <c r="B776" s="8"/>
      <c r="E776" s="11"/>
      <c r="F776" s="11"/>
      <c r="H776" s="3"/>
    </row>
    <row r="777" spans="2:8" x14ac:dyDescent="0.25">
      <c r="B777" s="8"/>
      <c r="E777" s="11"/>
      <c r="F777" s="11"/>
      <c r="H777" s="3"/>
    </row>
    <row r="778" spans="2:8" x14ac:dyDescent="0.25">
      <c r="B778" s="8"/>
      <c r="E778" s="11"/>
      <c r="F778" s="11"/>
      <c r="H778" s="3"/>
    </row>
    <row r="779" spans="2:8" x14ac:dyDescent="0.25">
      <c r="B779" s="8"/>
      <c r="E779" s="11"/>
      <c r="F779" s="11"/>
      <c r="H779" s="3"/>
    </row>
    <row r="780" spans="2:8" x14ac:dyDescent="0.25">
      <c r="B780" s="8"/>
      <c r="E780" s="11"/>
      <c r="F780" s="11"/>
      <c r="H780" s="3"/>
    </row>
    <row r="781" spans="2:8" x14ac:dyDescent="0.25">
      <c r="B781" s="8"/>
      <c r="E781" s="11"/>
      <c r="F781" s="11"/>
      <c r="H781" s="3"/>
    </row>
    <row r="782" spans="2:8" x14ac:dyDescent="0.25">
      <c r="B782" s="8"/>
      <c r="E782" s="11"/>
      <c r="F782" s="11"/>
      <c r="H782" s="3"/>
    </row>
    <row r="783" spans="2:8" x14ac:dyDescent="0.25">
      <c r="B783" s="8"/>
      <c r="E783" s="11"/>
      <c r="F783" s="11"/>
      <c r="H783" s="3"/>
    </row>
    <row r="784" spans="2:8" x14ac:dyDescent="0.25">
      <c r="B784" s="8"/>
      <c r="E784" s="11"/>
      <c r="F784" s="11"/>
      <c r="H784" s="3"/>
    </row>
    <row r="785" spans="2:8" x14ac:dyDescent="0.25">
      <c r="B785" s="8"/>
      <c r="E785" s="11"/>
      <c r="F785" s="11"/>
      <c r="H785" s="3"/>
    </row>
    <row r="786" spans="2:8" x14ac:dyDescent="0.25">
      <c r="B786" s="8"/>
      <c r="E786" s="11"/>
      <c r="F786" s="11"/>
      <c r="H786" s="3"/>
    </row>
    <row r="787" spans="2:8" x14ac:dyDescent="0.25">
      <c r="B787" s="8"/>
      <c r="E787" s="11"/>
      <c r="F787" s="11"/>
      <c r="H787" s="3"/>
    </row>
    <row r="788" spans="2:8" x14ac:dyDescent="0.25">
      <c r="B788" s="8"/>
      <c r="E788" s="11"/>
      <c r="F788" s="11"/>
      <c r="H788" s="3"/>
    </row>
    <row r="789" spans="2:8" x14ac:dyDescent="0.25">
      <c r="B789" s="8"/>
      <c r="E789" s="11"/>
      <c r="F789" s="11"/>
      <c r="H789" s="3"/>
    </row>
    <row r="790" spans="2:8" x14ac:dyDescent="0.25">
      <c r="B790" s="8"/>
      <c r="E790" s="11"/>
      <c r="F790" s="11"/>
      <c r="H790" s="3"/>
    </row>
    <row r="791" spans="2:8" x14ac:dyDescent="0.25">
      <c r="B791" s="8"/>
      <c r="E791" s="11"/>
      <c r="F791" s="11"/>
      <c r="H791" s="3"/>
    </row>
    <row r="792" spans="2:8" x14ac:dyDescent="0.25">
      <c r="B792" s="8"/>
      <c r="E792" s="11"/>
      <c r="F792" s="11"/>
      <c r="H792" s="3"/>
    </row>
    <row r="793" spans="2:8" x14ac:dyDescent="0.25">
      <c r="B793" s="8"/>
      <c r="E793" s="11"/>
      <c r="F793" s="11"/>
      <c r="H793" s="3"/>
    </row>
    <row r="794" spans="2:8" x14ac:dyDescent="0.25">
      <c r="B794" s="8"/>
      <c r="E794" s="11"/>
      <c r="F794" s="11"/>
      <c r="H794" s="3"/>
    </row>
    <row r="795" spans="2:8" x14ac:dyDescent="0.25">
      <c r="B795" s="8"/>
      <c r="E795" s="11"/>
      <c r="F795" s="11"/>
      <c r="H795" s="3"/>
    </row>
    <row r="796" spans="2:8" x14ac:dyDescent="0.25">
      <c r="B796" s="8"/>
      <c r="E796" s="11"/>
      <c r="F796" s="11"/>
      <c r="H796" s="3"/>
    </row>
    <row r="797" spans="2:8" x14ac:dyDescent="0.25">
      <c r="B797" s="8"/>
      <c r="E797" s="11"/>
      <c r="F797" s="11"/>
      <c r="H797" s="3"/>
    </row>
    <row r="798" spans="2:8" x14ac:dyDescent="0.25">
      <c r="B798" s="8"/>
      <c r="E798" s="11"/>
      <c r="F798" s="11"/>
      <c r="H798" s="3"/>
    </row>
    <row r="799" spans="2:8" x14ac:dyDescent="0.25">
      <c r="B799" s="8"/>
      <c r="E799" s="11"/>
      <c r="F799" s="11"/>
      <c r="H799" s="3"/>
    </row>
    <row r="800" spans="2:8" x14ac:dyDescent="0.25">
      <c r="B800" s="8"/>
      <c r="E800" s="11"/>
      <c r="F800" s="11"/>
      <c r="H800" s="3"/>
    </row>
    <row r="801" spans="2:8" x14ac:dyDescent="0.25">
      <c r="B801" s="8"/>
      <c r="E801" s="11"/>
      <c r="F801" s="11"/>
      <c r="H801" s="3"/>
    </row>
    <row r="802" spans="2:8" x14ac:dyDescent="0.25">
      <c r="B802" s="8"/>
      <c r="E802" s="11"/>
      <c r="F802" s="11"/>
      <c r="H802" s="3"/>
    </row>
    <row r="803" spans="2:8" x14ac:dyDescent="0.25">
      <c r="B803" s="8"/>
      <c r="E803" s="11"/>
      <c r="F803" s="11"/>
      <c r="H803" s="3"/>
    </row>
    <row r="804" spans="2:8" x14ac:dyDescent="0.25">
      <c r="B804" s="8"/>
      <c r="E804" s="11"/>
      <c r="F804" s="11"/>
      <c r="H804" s="3"/>
    </row>
    <row r="805" spans="2:8" x14ac:dyDescent="0.25">
      <c r="B805" s="8"/>
      <c r="E805" s="11"/>
      <c r="F805" s="11"/>
      <c r="H805" s="3"/>
    </row>
    <row r="806" spans="2:8" x14ac:dyDescent="0.25">
      <c r="B806" s="8"/>
      <c r="E806" s="11"/>
      <c r="F806" s="11"/>
      <c r="H806" s="3"/>
    </row>
    <row r="807" spans="2:8" x14ac:dyDescent="0.25">
      <c r="B807" s="8"/>
      <c r="E807" s="11"/>
      <c r="F807" s="11"/>
      <c r="H807" s="3"/>
    </row>
    <row r="808" spans="2:8" x14ac:dyDescent="0.25">
      <c r="B808" s="8"/>
      <c r="E808" s="11"/>
      <c r="F808" s="11"/>
      <c r="H808" s="3"/>
    </row>
    <row r="809" spans="2:8" x14ac:dyDescent="0.25">
      <c r="B809" s="8"/>
      <c r="E809" s="11"/>
      <c r="F809" s="11"/>
      <c r="H809" s="3"/>
    </row>
    <row r="810" spans="2:8" x14ac:dyDescent="0.25">
      <c r="B810" s="8"/>
      <c r="E810" s="11"/>
      <c r="F810" s="11"/>
      <c r="H810" s="3"/>
    </row>
    <row r="811" spans="2:8" x14ac:dyDescent="0.25">
      <c r="B811" s="8"/>
      <c r="E811" s="11"/>
      <c r="F811" s="11"/>
      <c r="H811" s="3"/>
    </row>
    <row r="812" spans="2:8" x14ac:dyDescent="0.25">
      <c r="B812" s="8"/>
      <c r="E812" s="11"/>
      <c r="F812" s="11"/>
      <c r="H812" s="3"/>
    </row>
    <row r="813" spans="2:8" x14ac:dyDescent="0.25">
      <c r="B813" s="8"/>
      <c r="E813" s="11"/>
      <c r="F813" s="11"/>
      <c r="H813" s="3"/>
    </row>
    <row r="814" spans="2:8" x14ac:dyDescent="0.25">
      <c r="B814" s="8"/>
      <c r="E814" s="11"/>
      <c r="F814" s="11"/>
      <c r="H814" s="3"/>
    </row>
    <row r="815" spans="2:8" x14ac:dyDescent="0.25">
      <c r="B815" s="8"/>
      <c r="E815" s="11"/>
      <c r="F815" s="11"/>
      <c r="H815" s="3"/>
    </row>
    <row r="816" spans="2:8" x14ac:dyDescent="0.25">
      <c r="B816" s="8"/>
      <c r="E816" s="11"/>
      <c r="F816" s="11"/>
      <c r="H816" s="3"/>
    </row>
    <row r="817" spans="2:8" x14ac:dyDescent="0.25">
      <c r="B817" s="8"/>
      <c r="E817" s="11"/>
      <c r="F817" s="11"/>
      <c r="H817" s="3"/>
    </row>
    <row r="818" spans="2:8" x14ac:dyDescent="0.25">
      <c r="B818" s="8"/>
      <c r="E818" s="11"/>
      <c r="F818" s="11"/>
      <c r="H818" s="3"/>
    </row>
    <row r="819" spans="2:8" x14ac:dyDescent="0.25">
      <c r="B819" s="8"/>
      <c r="E819" s="11"/>
      <c r="F819" s="11"/>
      <c r="H819" s="3"/>
    </row>
    <row r="820" spans="2:8" x14ac:dyDescent="0.25">
      <c r="B820" s="8"/>
      <c r="E820" s="11"/>
      <c r="F820" s="11"/>
      <c r="H820" s="3"/>
    </row>
    <row r="821" spans="2:8" x14ac:dyDescent="0.25">
      <c r="B821" s="8"/>
      <c r="E821" s="11"/>
      <c r="F821" s="11"/>
      <c r="H821" s="3"/>
    </row>
    <row r="822" spans="2:8" x14ac:dyDescent="0.25">
      <c r="B822" s="8"/>
      <c r="E822" s="11"/>
      <c r="F822" s="11"/>
      <c r="H822" s="3"/>
    </row>
    <row r="823" spans="2:8" x14ac:dyDescent="0.25">
      <c r="B823" s="8"/>
      <c r="E823" s="11"/>
      <c r="F823" s="11"/>
      <c r="H823" s="3"/>
    </row>
    <row r="824" spans="2:8" x14ac:dyDescent="0.25">
      <c r="B824" s="8"/>
      <c r="E824" s="11"/>
      <c r="F824" s="11"/>
      <c r="H824" s="3"/>
    </row>
    <row r="825" spans="2:8" x14ac:dyDescent="0.25">
      <c r="B825" s="8"/>
      <c r="E825" s="11"/>
      <c r="F825" s="11"/>
      <c r="H825" s="3"/>
    </row>
    <row r="826" spans="2:8" x14ac:dyDescent="0.25">
      <c r="B826" s="8"/>
      <c r="E826" s="11"/>
      <c r="F826" s="11"/>
      <c r="H826" s="3"/>
    </row>
    <row r="827" spans="2:8" x14ac:dyDescent="0.25">
      <c r="B827" s="8"/>
      <c r="E827" s="11"/>
      <c r="F827" s="11"/>
      <c r="H827" s="3"/>
    </row>
    <row r="828" spans="2:8" x14ac:dyDescent="0.25">
      <c r="B828" s="8"/>
      <c r="E828" s="11"/>
      <c r="F828" s="11"/>
      <c r="H828" s="3"/>
    </row>
    <row r="829" spans="2:8" x14ac:dyDescent="0.25">
      <c r="B829" s="8"/>
      <c r="E829" s="11"/>
      <c r="F829" s="11"/>
      <c r="H829" s="3"/>
    </row>
    <row r="830" spans="2:8" x14ac:dyDescent="0.25">
      <c r="B830" s="8"/>
      <c r="E830" s="11"/>
      <c r="F830" s="11"/>
      <c r="H830" s="3"/>
    </row>
    <row r="831" spans="2:8" x14ac:dyDescent="0.25">
      <c r="B831" s="8"/>
      <c r="E831" s="11"/>
      <c r="F831" s="11"/>
      <c r="H831" s="3"/>
    </row>
    <row r="832" spans="2:8" x14ac:dyDescent="0.25">
      <c r="B832" s="8"/>
      <c r="E832" s="11"/>
      <c r="F832" s="11"/>
      <c r="H832" s="3"/>
    </row>
    <row r="833" spans="2:8" x14ac:dyDescent="0.25">
      <c r="B833" s="8"/>
      <c r="E833" s="11"/>
      <c r="F833" s="11"/>
      <c r="H833" s="3"/>
    </row>
    <row r="834" spans="2:8" x14ac:dyDescent="0.25">
      <c r="B834" s="8"/>
      <c r="E834" s="11"/>
      <c r="F834" s="11"/>
      <c r="H834" s="3"/>
    </row>
    <row r="835" spans="2:8" x14ac:dyDescent="0.25">
      <c r="B835" s="8"/>
      <c r="E835" s="11"/>
      <c r="F835" s="11"/>
      <c r="H835" s="3"/>
    </row>
    <row r="836" spans="2:8" x14ac:dyDescent="0.25">
      <c r="B836" s="8"/>
      <c r="E836" s="11"/>
      <c r="F836" s="11"/>
      <c r="H836" s="3"/>
    </row>
    <row r="837" spans="2:8" x14ac:dyDescent="0.25">
      <c r="B837" s="8"/>
      <c r="E837" s="11"/>
      <c r="F837" s="11"/>
      <c r="H837" s="3"/>
    </row>
    <row r="838" spans="2:8" x14ac:dyDescent="0.25">
      <c r="B838" s="8"/>
      <c r="E838" s="11"/>
      <c r="F838" s="11"/>
      <c r="H838" s="3"/>
    </row>
    <row r="839" spans="2:8" x14ac:dyDescent="0.25">
      <c r="B839" s="8"/>
      <c r="E839" s="11"/>
      <c r="F839" s="11"/>
      <c r="H839" s="3"/>
    </row>
    <row r="840" spans="2:8" x14ac:dyDescent="0.25">
      <c r="B840" s="8"/>
      <c r="E840" s="11"/>
      <c r="F840" s="11"/>
      <c r="H840" s="3"/>
    </row>
    <row r="841" spans="2:8" x14ac:dyDescent="0.25">
      <c r="B841" s="8"/>
      <c r="E841" s="11"/>
      <c r="F841" s="11"/>
      <c r="H841" s="3"/>
    </row>
    <row r="842" spans="2:8" x14ac:dyDescent="0.25">
      <c r="B842" s="8"/>
      <c r="E842" s="11"/>
      <c r="F842" s="11"/>
      <c r="H842" s="3"/>
    </row>
    <row r="843" spans="2:8" x14ac:dyDescent="0.25">
      <c r="B843" s="8"/>
      <c r="E843" s="11"/>
      <c r="F843" s="11"/>
      <c r="H843" s="3"/>
    </row>
    <row r="844" spans="2:8" x14ac:dyDescent="0.25">
      <c r="B844" s="8"/>
      <c r="E844" s="11"/>
      <c r="F844" s="11"/>
      <c r="H844" s="3"/>
    </row>
    <row r="845" spans="2:8" x14ac:dyDescent="0.25">
      <c r="B845" s="8"/>
      <c r="E845" s="11"/>
      <c r="F845" s="11"/>
      <c r="H845" s="3"/>
    </row>
    <row r="846" spans="2:8" x14ac:dyDescent="0.25">
      <c r="B846" s="8"/>
      <c r="E846" s="11"/>
      <c r="F846" s="11"/>
      <c r="H846" s="3"/>
    </row>
    <row r="847" spans="2:8" x14ac:dyDescent="0.25">
      <c r="B847" s="8"/>
      <c r="E847" s="11"/>
      <c r="F847" s="11"/>
      <c r="H847" s="3"/>
    </row>
    <row r="848" spans="2:8" x14ac:dyDescent="0.25">
      <c r="B848" s="8"/>
      <c r="E848" s="11"/>
      <c r="F848" s="11"/>
      <c r="H848" s="3"/>
    </row>
    <row r="849" spans="2:8" x14ac:dyDescent="0.25">
      <c r="B849" s="8"/>
      <c r="E849" s="11"/>
      <c r="F849" s="11"/>
      <c r="H849" s="3"/>
    </row>
    <row r="850" spans="2:8" x14ac:dyDescent="0.25">
      <c r="B850" s="8"/>
      <c r="E850" s="11"/>
      <c r="F850" s="11"/>
      <c r="H850" s="3"/>
    </row>
    <row r="851" spans="2:8" x14ac:dyDescent="0.25">
      <c r="B851" s="8"/>
      <c r="E851" s="11"/>
      <c r="F851" s="11"/>
      <c r="H851" s="3"/>
    </row>
    <row r="852" spans="2:8" x14ac:dyDescent="0.25">
      <c r="B852" s="8"/>
      <c r="E852" s="11"/>
      <c r="F852" s="11"/>
      <c r="H852" s="3"/>
    </row>
    <row r="853" spans="2:8" x14ac:dyDescent="0.25">
      <c r="B853" s="8"/>
      <c r="E853" s="11"/>
      <c r="F853" s="11"/>
      <c r="H853" s="3"/>
    </row>
    <row r="854" spans="2:8" x14ac:dyDescent="0.25">
      <c r="B854" s="8"/>
      <c r="E854" s="11"/>
      <c r="F854" s="11"/>
      <c r="H854" s="3"/>
    </row>
    <row r="855" spans="2:8" x14ac:dyDescent="0.25">
      <c r="B855" s="8"/>
      <c r="E855" s="11"/>
      <c r="F855" s="11"/>
      <c r="H855" s="3"/>
    </row>
    <row r="856" spans="2:8" x14ac:dyDescent="0.25">
      <c r="B856" s="8"/>
      <c r="E856" s="11"/>
      <c r="F856" s="11"/>
      <c r="H856" s="3"/>
    </row>
    <row r="857" spans="2:8" x14ac:dyDescent="0.25">
      <c r="B857" s="8"/>
      <c r="E857" s="11"/>
      <c r="F857" s="11"/>
      <c r="H857" s="3"/>
    </row>
    <row r="858" spans="2:8" x14ac:dyDescent="0.25">
      <c r="B858" s="8"/>
      <c r="E858" s="11"/>
      <c r="F858" s="11"/>
      <c r="H858" s="3"/>
    </row>
    <row r="859" spans="2:8" x14ac:dyDescent="0.25">
      <c r="B859" s="8"/>
      <c r="E859" s="11"/>
      <c r="F859" s="11"/>
      <c r="H859" s="3"/>
    </row>
    <row r="860" spans="2:8" x14ac:dyDescent="0.25">
      <c r="B860" s="8"/>
      <c r="E860" s="11"/>
      <c r="F860" s="11"/>
      <c r="H860" s="3"/>
    </row>
    <row r="861" spans="2:8" x14ac:dyDescent="0.25">
      <c r="B861" s="8"/>
      <c r="E861" s="11"/>
      <c r="F861" s="11"/>
      <c r="H861" s="3"/>
    </row>
    <row r="862" spans="2:8" x14ac:dyDescent="0.25">
      <c r="B862" s="8"/>
      <c r="E862" s="11"/>
      <c r="F862" s="11"/>
      <c r="H862" s="3"/>
    </row>
    <row r="863" spans="2:8" x14ac:dyDescent="0.25">
      <c r="B863" s="8"/>
      <c r="E863" s="11"/>
      <c r="F863" s="11"/>
      <c r="H863" s="3"/>
    </row>
    <row r="864" spans="2:8" x14ac:dyDescent="0.25">
      <c r="B864" s="8"/>
      <c r="E864" s="11"/>
      <c r="F864" s="11"/>
      <c r="H864" s="3"/>
    </row>
    <row r="865" spans="2:8" x14ac:dyDescent="0.25">
      <c r="B865" s="8"/>
      <c r="E865" s="11"/>
      <c r="F865" s="11"/>
      <c r="H865" s="3"/>
    </row>
    <row r="866" spans="2:8" x14ac:dyDescent="0.25">
      <c r="B866" s="8"/>
      <c r="E866" s="11"/>
      <c r="F866" s="11"/>
      <c r="H866" s="3"/>
    </row>
    <row r="867" spans="2:8" x14ac:dyDescent="0.25">
      <c r="B867" s="8"/>
      <c r="E867" s="11"/>
      <c r="F867" s="11"/>
      <c r="H867" s="3"/>
    </row>
    <row r="868" spans="2:8" x14ac:dyDescent="0.25">
      <c r="B868" s="8"/>
      <c r="E868" s="11"/>
      <c r="F868" s="11"/>
      <c r="H868" s="3"/>
    </row>
    <row r="869" spans="2:8" x14ac:dyDescent="0.25">
      <c r="B869" s="8"/>
      <c r="E869" s="11"/>
      <c r="F869" s="11"/>
      <c r="H869" s="3"/>
    </row>
    <row r="870" spans="2:8" x14ac:dyDescent="0.25">
      <c r="B870" s="8"/>
      <c r="E870" s="11"/>
      <c r="F870" s="11"/>
      <c r="H870" s="3"/>
    </row>
    <row r="871" spans="2:8" x14ac:dyDescent="0.25">
      <c r="B871" s="8"/>
      <c r="E871" s="11"/>
      <c r="F871" s="11"/>
      <c r="H871" s="3"/>
    </row>
    <row r="872" spans="2:8" x14ac:dyDescent="0.25">
      <c r="B872" s="8"/>
      <c r="E872" s="11"/>
      <c r="F872" s="11"/>
      <c r="H872" s="3"/>
    </row>
    <row r="873" spans="2:8" x14ac:dyDescent="0.25">
      <c r="B873" s="8"/>
      <c r="E873" s="11"/>
      <c r="F873" s="11"/>
      <c r="H873" s="3"/>
    </row>
    <row r="874" spans="2:8" x14ac:dyDescent="0.25">
      <c r="B874" s="8"/>
      <c r="E874" s="11"/>
      <c r="F874" s="11"/>
      <c r="H874" s="3"/>
    </row>
    <row r="875" spans="2:8" x14ac:dyDescent="0.25">
      <c r="B875" s="8"/>
      <c r="E875" s="11"/>
      <c r="F875" s="11"/>
      <c r="H875" s="3"/>
    </row>
    <row r="876" spans="2:8" x14ac:dyDescent="0.25">
      <c r="B876" s="8"/>
      <c r="E876" s="11"/>
      <c r="F876" s="11"/>
      <c r="H876" s="3"/>
    </row>
    <row r="877" spans="2:8" x14ac:dyDescent="0.25">
      <c r="B877" s="8"/>
      <c r="E877" s="11"/>
      <c r="F877" s="11"/>
      <c r="H877" s="3"/>
    </row>
    <row r="878" spans="2:8" x14ac:dyDescent="0.25">
      <c r="B878" s="8"/>
      <c r="E878" s="11"/>
      <c r="F878" s="11"/>
      <c r="H878" s="3"/>
    </row>
    <row r="879" spans="2:8" x14ac:dyDescent="0.25">
      <c r="B879" s="8"/>
      <c r="E879" s="11"/>
      <c r="F879" s="11"/>
      <c r="H879" s="3"/>
    </row>
    <row r="880" spans="2:8" x14ac:dyDescent="0.25">
      <c r="B880" s="8"/>
      <c r="E880" s="11"/>
      <c r="F880" s="11"/>
      <c r="H880" s="3"/>
    </row>
    <row r="881" spans="2:8" x14ac:dyDescent="0.25">
      <c r="B881" s="8"/>
      <c r="E881" s="11"/>
      <c r="F881" s="11"/>
      <c r="H881" s="3"/>
    </row>
    <row r="882" spans="2:8" x14ac:dyDescent="0.25">
      <c r="B882" s="8"/>
      <c r="E882" s="11"/>
      <c r="F882" s="11"/>
      <c r="H882" s="3"/>
    </row>
    <row r="883" spans="2:8" x14ac:dyDescent="0.25">
      <c r="B883" s="8"/>
      <c r="E883" s="11"/>
      <c r="F883" s="11"/>
      <c r="H883" s="3"/>
    </row>
    <row r="884" spans="2:8" x14ac:dyDescent="0.25">
      <c r="B884" s="8"/>
      <c r="E884" s="11"/>
      <c r="F884" s="11"/>
      <c r="H884" s="3"/>
    </row>
    <row r="885" spans="2:8" x14ac:dyDescent="0.25">
      <c r="B885" s="8"/>
      <c r="E885" s="11"/>
      <c r="F885" s="11"/>
      <c r="H885" s="3"/>
    </row>
    <row r="886" spans="2:8" x14ac:dyDescent="0.25">
      <c r="B886" s="8"/>
      <c r="E886" s="11"/>
      <c r="F886" s="11"/>
      <c r="H886" s="3"/>
    </row>
    <row r="887" spans="2:8" x14ac:dyDescent="0.25">
      <c r="B887" s="8"/>
      <c r="E887" s="11"/>
      <c r="F887" s="11"/>
      <c r="H887" s="3"/>
    </row>
    <row r="888" spans="2:8" x14ac:dyDescent="0.25">
      <c r="B888" s="8"/>
      <c r="E888" s="11"/>
      <c r="F888" s="11"/>
      <c r="H888" s="3"/>
    </row>
    <row r="889" spans="2:8" x14ac:dyDescent="0.25">
      <c r="B889" s="8"/>
      <c r="E889" s="11"/>
      <c r="F889" s="11"/>
      <c r="H889" s="3"/>
    </row>
    <row r="890" spans="2:8" x14ac:dyDescent="0.25">
      <c r="B890" s="8"/>
      <c r="E890" s="11"/>
      <c r="F890" s="11"/>
      <c r="H890" s="3"/>
    </row>
    <row r="891" spans="2:8" x14ac:dyDescent="0.25">
      <c r="B891" s="8"/>
      <c r="E891" s="11"/>
      <c r="F891" s="11"/>
      <c r="H891" s="3"/>
    </row>
    <row r="892" spans="2:8" x14ac:dyDescent="0.25">
      <c r="B892" s="8"/>
      <c r="E892" s="11"/>
      <c r="F892" s="11"/>
      <c r="H892" s="3"/>
    </row>
    <row r="893" spans="2:8" x14ac:dyDescent="0.25">
      <c r="B893" s="8"/>
      <c r="E893" s="11"/>
      <c r="F893" s="11"/>
      <c r="H893" s="3"/>
    </row>
    <row r="894" spans="2:8" x14ac:dyDescent="0.25">
      <c r="B894" s="8"/>
      <c r="E894" s="11"/>
      <c r="F894" s="11"/>
      <c r="H894" s="3"/>
    </row>
    <row r="895" spans="2:8" x14ac:dyDescent="0.25">
      <c r="B895" s="8"/>
      <c r="E895" s="11"/>
      <c r="F895" s="11"/>
      <c r="H895" s="3"/>
    </row>
    <row r="896" spans="2:8" x14ac:dyDescent="0.25">
      <c r="B896" s="8"/>
      <c r="E896" s="11"/>
      <c r="F896" s="11"/>
      <c r="H896" s="3"/>
    </row>
    <row r="897" spans="2:8" x14ac:dyDescent="0.25">
      <c r="B897" s="8"/>
      <c r="E897" s="11"/>
      <c r="F897" s="11"/>
      <c r="H897" s="3"/>
    </row>
    <row r="898" spans="2:8" x14ac:dyDescent="0.25">
      <c r="B898" s="8"/>
      <c r="E898" s="11"/>
      <c r="F898" s="11"/>
      <c r="H898" s="3"/>
    </row>
    <row r="899" spans="2:8" x14ac:dyDescent="0.25">
      <c r="B899" s="8"/>
      <c r="E899" s="11"/>
      <c r="F899" s="11"/>
      <c r="H899" s="3"/>
    </row>
    <row r="900" spans="2:8" x14ac:dyDescent="0.25">
      <c r="B900" s="8"/>
      <c r="E900" s="11"/>
      <c r="F900" s="11"/>
      <c r="H900" s="3"/>
    </row>
    <row r="901" spans="2:8" x14ac:dyDescent="0.25">
      <c r="B901" s="8"/>
      <c r="E901" s="11"/>
      <c r="F901" s="11"/>
      <c r="H901" s="3"/>
    </row>
    <row r="902" spans="2:8" x14ac:dyDescent="0.25">
      <c r="B902" s="8"/>
      <c r="E902" s="11"/>
      <c r="F902" s="11"/>
      <c r="H902" s="3"/>
    </row>
    <row r="903" spans="2:8" x14ac:dyDescent="0.25">
      <c r="B903" s="8"/>
      <c r="E903" s="11"/>
      <c r="F903" s="11"/>
      <c r="H903" s="3"/>
    </row>
    <row r="904" spans="2:8" x14ac:dyDescent="0.25">
      <c r="B904" s="8"/>
      <c r="E904" s="11"/>
      <c r="F904" s="11"/>
      <c r="H904" s="3"/>
    </row>
    <row r="905" spans="2:8" x14ac:dyDescent="0.25">
      <c r="B905" s="8"/>
      <c r="E905" s="11"/>
      <c r="F905" s="11"/>
      <c r="H905" s="3"/>
    </row>
    <row r="906" spans="2:8" x14ac:dyDescent="0.25">
      <c r="B906" s="8"/>
      <c r="E906" s="11"/>
      <c r="F906" s="11"/>
      <c r="H906" s="3"/>
    </row>
    <row r="907" spans="2:8" x14ac:dyDescent="0.25">
      <c r="B907" s="8"/>
      <c r="E907" s="11"/>
      <c r="F907" s="11"/>
      <c r="H907" s="3"/>
    </row>
    <row r="908" spans="2:8" x14ac:dyDescent="0.25">
      <c r="B908" s="8"/>
      <c r="E908" s="11"/>
      <c r="F908" s="11"/>
      <c r="H908" s="3"/>
    </row>
    <row r="909" spans="2:8" x14ac:dyDescent="0.25">
      <c r="B909" s="8"/>
      <c r="E909" s="11"/>
      <c r="F909" s="11"/>
      <c r="H909" s="3"/>
    </row>
    <row r="910" spans="2:8" x14ac:dyDescent="0.25">
      <c r="B910" s="8"/>
      <c r="E910" s="11"/>
      <c r="F910" s="11"/>
      <c r="H910" s="3"/>
    </row>
    <row r="911" spans="2:8" x14ac:dyDescent="0.25">
      <c r="B911" s="8"/>
      <c r="E911" s="11"/>
      <c r="F911" s="11"/>
      <c r="H911" s="3"/>
    </row>
    <row r="912" spans="2:8" x14ac:dyDescent="0.25">
      <c r="B912" s="8"/>
      <c r="E912" s="11"/>
      <c r="F912" s="11"/>
      <c r="H912" s="3"/>
    </row>
    <row r="913" spans="2:8" x14ac:dyDescent="0.25">
      <c r="B913" s="8"/>
      <c r="E913" s="11"/>
      <c r="F913" s="11"/>
      <c r="H913" s="3"/>
    </row>
    <row r="914" spans="2:8" x14ac:dyDescent="0.25">
      <c r="B914" s="8"/>
      <c r="E914" s="11"/>
      <c r="F914" s="11"/>
      <c r="H914" s="3"/>
    </row>
    <row r="915" spans="2:8" x14ac:dyDescent="0.25">
      <c r="B915" s="8"/>
      <c r="E915" s="11"/>
      <c r="F915" s="11"/>
      <c r="H915" s="3"/>
    </row>
    <row r="916" spans="2:8" x14ac:dyDescent="0.25">
      <c r="B916" s="8"/>
      <c r="E916" s="11"/>
      <c r="F916" s="11"/>
      <c r="H916" s="3"/>
    </row>
    <row r="917" spans="2:8" x14ac:dyDescent="0.25">
      <c r="B917" s="8"/>
      <c r="E917" s="11"/>
      <c r="F917" s="11"/>
      <c r="H917" s="3"/>
    </row>
    <row r="918" spans="2:8" x14ac:dyDescent="0.25">
      <c r="B918" s="8"/>
      <c r="E918" s="11"/>
      <c r="F918" s="11"/>
      <c r="H918" s="3"/>
    </row>
    <row r="919" spans="2:8" x14ac:dyDescent="0.25">
      <c r="B919" s="8"/>
      <c r="E919" s="11"/>
      <c r="F919" s="11"/>
      <c r="H919" s="3"/>
    </row>
    <row r="920" spans="2:8" x14ac:dyDescent="0.25">
      <c r="B920" s="8"/>
      <c r="E920" s="11"/>
      <c r="F920" s="11"/>
      <c r="H920" s="3"/>
    </row>
    <row r="921" spans="2:8" x14ac:dyDescent="0.25">
      <c r="B921" s="8"/>
      <c r="E921" s="11"/>
      <c r="F921" s="11"/>
      <c r="H921" s="3"/>
    </row>
    <row r="922" spans="2:8" x14ac:dyDescent="0.25">
      <c r="B922" s="8"/>
      <c r="E922" s="11"/>
      <c r="F922" s="11"/>
      <c r="H922" s="3"/>
    </row>
    <row r="923" spans="2:8" x14ac:dyDescent="0.25">
      <c r="B923" s="8"/>
      <c r="E923" s="11"/>
      <c r="F923" s="11"/>
      <c r="H923" s="3"/>
    </row>
    <row r="924" spans="2:8" x14ac:dyDescent="0.25">
      <c r="B924" s="8"/>
      <c r="E924" s="11"/>
      <c r="F924" s="11"/>
      <c r="H924" s="3"/>
    </row>
    <row r="925" spans="2:8" x14ac:dyDescent="0.25">
      <c r="B925" s="8"/>
      <c r="E925" s="11"/>
      <c r="F925" s="11"/>
      <c r="H925" s="3"/>
    </row>
    <row r="926" spans="2:8" x14ac:dyDescent="0.25">
      <c r="B926" s="8"/>
      <c r="E926" s="11"/>
      <c r="F926" s="11"/>
      <c r="H926" s="3"/>
    </row>
    <row r="927" spans="2:8" x14ac:dyDescent="0.25">
      <c r="B927" s="8"/>
      <c r="E927" s="11"/>
      <c r="F927" s="11"/>
      <c r="H927" s="3"/>
    </row>
    <row r="928" spans="2:8" x14ac:dyDescent="0.25">
      <c r="B928" s="8"/>
      <c r="E928" s="11"/>
      <c r="F928" s="11"/>
      <c r="H928" s="3"/>
    </row>
    <row r="929" spans="2:8" x14ac:dyDescent="0.25">
      <c r="B929" s="8"/>
      <c r="E929" s="11"/>
      <c r="F929" s="11"/>
      <c r="H929" s="3"/>
    </row>
    <row r="930" spans="2:8" x14ac:dyDescent="0.25">
      <c r="B930" s="8"/>
      <c r="E930" s="11"/>
      <c r="F930" s="11"/>
      <c r="H930" s="3"/>
    </row>
    <row r="931" spans="2:8" x14ac:dyDescent="0.25">
      <c r="B931" s="8"/>
      <c r="E931" s="11"/>
      <c r="F931" s="11"/>
      <c r="H931" s="3"/>
    </row>
    <row r="932" spans="2:8" x14ac:dyDescent="0.25">
      <c r="B932" s="8"/>
      <c r="E932" s="11"/>
      <c r="F932" s="11"/>
      <c r="H932" s="3"/>
    </row>
    <row r="933" spans="2:8" x14ac:dyDescent="0.25">
      <c r="B933" s="8"/>
      <c r="E933" s="11"/>
      <c r="F933" s="11"/>
      <c r="H933" s="3"/>
    </row>
    <row r="934" spans="2:8" x14ac:dyDescent="0.25">
      <c r="B934" s="8"/>
      <c r="E934" s="11"/>
      <c r="F934" s="11"/>
      <c r="H934" s="3"/>
    </row>
    <row r="935" spans="2:8" x14ac:dyDescent="0.25">
      <c r="B935" s="8"/>
      <c r="E935" s="11"/>
      <c r="F935" s="11"/>
      <c r="H935" s="3"/>
    </row>
    <row r="936" spans="2:8" x14ac:dyDescent="0.25">
      <c r="B936" s="8"/>
      <c r="E936" s="11"/>
      <c r="F936" s="11"/>
      <c r="H936" s="3"/>
    </row>
    <row r="937" spans="2:8" x14ac:dyDescent="0.25">
      <c r="B937" s="8"/>
      <c r="E937" s="11"/>
      <c r="F937" s="11"/>
      <c r="H937" s="3"/>
    </row>
    <row r="938" spans="2:8" x14ac:dyDescent="0.25">
      <c r="B938" s="8"/>
      <c r="E938" s="11"/>
      <c r="F938" s="11"/>
      <c r="H938" s="3"/>
    </row>
    <row r="939" spans="2:8" x14ac:dyDescent="0.25">
      <c r="B939" s="8"/>
      <c r="E939" s="11"/>
      <c r="F939" s="11"/>
      <c r="H939" s="3"/>
    </row>
    <row r="940" spans="2:8" x14ac:dyDescent="0.25">
      <c r="B940" s="8"/>
      <c r="E940" s="11"/>
      <c r="F940" s="11"/>
      <c r="H940" s="3"/>
    </row>
    <row r="941" spans="2:8" x14ac:dyDescent="0.25">
      <c r="B941" s="8"/>
      <c r="E941" s="11"/>
      <c r="F941" s="11"/>
      <c r="H941" s="3"/>
    </row>
    <row r="942" spans="2:8" x14ac:dyDescent="0.25">
      <c r="B942" s="8"/>
      <c r="E942" s="11"/>
      <c r="F942" s="11"/>
      <c r="H942" s="3"/>
    </row>
    <row r="943" spans="2:8" x14ac:dyDescent="0.25">
      <c r="B943" s="8"/>
      <c r="E943" s="11"/>
      <c r="F943" s="11"/>
      <c r="H943" s="3"/>
    </row>
    <row r="944" spans="2:8" x14ac:dyDescent="0.25">
      <c r="B944" s="8"/>
      <c r="E944" s="11"/>
      <c r="F944" s="11"/>
      <c r="H944" s="3"/>
    </row>
    <row r="945" spans="2:8" x14ac:dyDescent="0.25">
      <c r="B945" s="8"/>
      <c r="E945" s="11"/>
      <c r="F945" s="11"/>
      <c r="H945" s="3"/>
    </row>
    <row r="946" spans="2:8" x14ac:dyDescent="0.25">
      <c r="B946" s="8"/>
      <c r="E946" s="11"/>
      <c r="F946" s="11"/>
      <c r="H946" s="3"/>
    </row>
    <row r="947" spans="2:8" x14ac:dyDescent="0.25">
      <c r="B947" s="8"/>
      <c r="E947" s="11"/>
      <c r="F947" s="11"/>
      <c r="H947" s="3"/>
    </row>
    <row r="948" spans="2:8" x14ac:dyDescent="0.25">
      <c r="B948" s="8"/>
      <c r="E948" s="11"/>
      <c r="F948" s="11"/>
      <c r="H948" s="3"/>
    </row>
    <row r="949" spans="2:8" x14ac:dyDescent="0.25">
      <c r="B949" s="8"/>
      <c r="E949" s="11"/>
      <c r="F949" s="11"/>
      <c r="H949" s="3"/>
    </row>
    <row r="950" spans="2:8" x14ac:dyDescent="0.25">
      <c r="B950" s="8"/>
      <c r="E950" s="11"/>
      <c r="F950" s="11"/>
      <c r="H950" s="3"/>
    </row>
    <row r="951" spans="2:8" x14ac:dyDescent="0.25">
      <c r="B951" s="8"/>
      <c r="E951" s="11"/>
      <c r="F951" s="11"/>
      <c r="H951" s="3"/>
    </row>
    <row r="952" spans="2:8" x14ac:dyDescent="0.25">
      <c r="B952" s="8"/>
      <c r="E952" s="11"/>
      <c r="F952" s="11"/>
      <c r="H952" s="3"/>
    </row>
    <row r="953" spans="2:8" x14ac:dyDescent="0.25">
      <c r="B953" s="8"/>
      <c r="E953" s="11"/>
      <c r="F953" s="11"/>
      <c r="H953" s="3"/>
    </row>
    <row r="954" spans="2:8" x14ac:dyDescent="0.25">
      <c r="B954" s="8"/>
      <c r="E954" s="11"/>
      <c r="F954" s="11"/>
      <c r="H954" s="3"/>
    </row>
    <row r="955" spans="2:8" x14ac:dyDescent="0.25">
      <c r="B955" s="8"/>
      <c r="E955" s="11"/>
      <c r="F955" s="11"/>
      <c r="H955" s="3"/>
    </row>
    <row r="956" spans="2:8" x14ac:dyDescent="0.25">
      <c r="B956" s="8"/>
      <c r="E956" s="11"/>
      <c r="F956" s="11"/>
      <c r="H956" s="3"/>
    </row>
    <row r="957" spans="2:8" x14ac:dyDescent="0.25">
      <c r="B957" s="8"/>
      <c r="E957" s="11"/>
      <c r="F957" s="11"/>
      <c r="H957" s="3"/>
    </row>
    <row r="958" spans="2:8" x14ac:dyDescent="0.25">
      <c r="B958" s="8"/>
      <c r="E958" s="11"/>
      <c r="F958" s="11"/>
      <c r="H958" s="3"/>
    </row>
    <row r="959" spans="2:8" x14ac:dyDescent="0.25">
      <c r="B959" s="8"/>
      <c r="E959" s="11"/>
      <c r="F959" s="11"/>
      <c r="H959" s="3"/>
    </row>
    <row r="960" spans="2:8" x14ac:dyDescent="0.25">
      <c r="B960" s="8"/>
      <c r="E960" s="11"/>
      <c r="F960" s="11"/>
      <c r="H960" s="3"/>
    </row>
    <row r="961" spans="2:8" x14ac:dyDescent="0.25">
      <c r="B961" s="8"/>
      <c r="E961" s="11"/>
      <c r="F961" s="11"/>
      <c r="H961" s="3"/>
    </row>
    <row r="962" spans="2:8" x14ac:dyDescent="0.25">
      <c r="B962" s="8"/>
      <c r="E962" s="11"/>
      <c r="F962" s="11"/>
      <c r="H962" s="3"/>
    </row>
    <row r="963" spans="2:8" x14ac:dyDescent="0.25">
      <c r="B963" s="8"/>
      <c r="E963" s="11"/>
      <c r="F963" s="11"/>
      <c r="H963" s="3"/>
    </row>
    <row r="964" spans="2:8" x14ac:dyDescent="0.25">
      <c r="B964" s="8"/>
      <c r="E964" s="11"/>
      <c r="F964" s="11"/>
      <c r="H964" s="3"/>
    </row>
    <row r="965" spans="2:8" x14ac:dyDescent="0.25">
      <c r="B965" s="8"/>
      <c r="E965" s="11"/>
      <c r="F965" s="11"/>
      <c r="H965" s="3"/>
    </row>
    <row r="966" spans="2:8" x14ac:dyDescent="0.25">
      <c r="B966" s="8"/>
      <c r="E966" s="11"/>
      <c r="F966" s="11"/>
      <c r="H966" s="3"/>
    </row>
    <row r="967" spans="2:8" x14ac:dyDescent="0.25">
      <c r="B967" s="8"/>
      <c r="E967" s="11"/>
      <c r="F967" s="11"/>
      <c r="H967" s="3"/>
    </row>
    <row r="968" spans="2:8" x14ac:dyDescent="0.25">
      <c r="B968" s="8"/>
      <c r="E968" s="11"/>
      <c r="F968" s="11"/>
      <c r="H968" s="3"/>
    </row>
    <row r="969" spans="2:8" x14ac:dyDescent="0.25">
      <c r="B969" s="8"/>
      <c r="E969" s="11"/>
      <c r="F969" s="11"/>
      <c r="H969" s="3"/>
    </row>
    <row r="970" spans="2:8" x14ac:dyDescent="0.25">
      <c r="B970" s="8"/>
      <c r="E970" s="11"/>
      <c r="F970" s="11"/>
      <c r="H970" s="3"/>
    </row>
    <row r="971" spans="2:8" x14ac:dyDescent="0.25">
      <c r="B971" s="8"/>
      <c r="E971" s="11"/>
      <c r="F971" s="11"/>
      <c r="H971" s="3"/>
    </row>
    <row r="972" spans="2:8" x14ac:dyDescent="0.25">
      <c r="B972" s="8"/>
      <c r="E972" s="11"/>
      <c r="F972" s="11"/>
      <c r="H972" s="3"/>
    </row>
    <row r="973" spans="2:8" x14ac:dyDescent="0.25">
      <c r="B973" s="8"/>
      <c r="E973" s="11"/>
      <c r="F973" s="11"/>
      <c r="H973" s="3"/>
    </row>
    <row r="974" spans="2:8" x14ac:dyDescent="0.25">
      <c r="B974" s="8"/>
      <c r="E974" s="11"/>
      <c r="F974" s="11"/>
      <c r="H974" s="3"/>
    </row>
    <row r="975" spans="2:8" x14ac:dyDescent="0.25">
      <c r="B975" s="8"/>
      <c r="E975" s="11"/>
      <c r="F975" s="11"/>
      <c r="H975" s="3"/>
    </row>
    <row r="976" spans="2:8" x14ac:dyDescent="0.25">
      <c r="B976" s="8"/>
      <c r="E976" s="11"/>
      <c r="F976" s="11"/>
      <c r="H976" s="3"/>
    </row>
    <row r="977" spans="2:8" x14ac:dyDescent="0.25">
      <c r="B977" s="8"/>
      <c r="E977" s="11"/>
      <c r="F977" s="11"/>
      <c r="H977" s="3"/>
    </row>
    <row r="978" spans="2:8" x14ac:dyDescent="0.25">
      <c r="B978" s="8"/>
      <c r="E978" s="11"/>
      <c r="F978" s="11"/>
      <c r="H978" s="3"/>
    </row>
    <row r="979" spans="2:8" x14ac:dyDescent="0.25">
      <c r="B979" s="8"/>
      <c r="E979" s="11"/>
      <c r="F979" s="11"/>
      <c r="H979" s="3"/>
    </row>
    <row r="980" spans="2:8" x14ac:dyDescent="0.25">
      <c r="B980" s="8"/>
      <c r="E980" s="11"/>
      <c r="F980" s="11"/>
      <c r="H980" s="3"/>
    </row>
    <row r="981" spans="2:8" x14ac:dyDescent="0.25">
      <c r="B981" s="8"/>
      <c r="E981" s="11"/>
      <c r="F981" s="11"/>
      <c r="H981" s="3"/>
    </row>
    <row r="982" spans="2:8" x14ac:dyDescent="0.25">
      <c r="B982" s="8"/>
      <c r="E982" s="11"/>
      <c r="F982" s="11"/>
      <c r="H982" s="3"/>
    </row>
    <row r="983" spans="2:8" x14ac:dyDescent="0.25">
      <c r="B983" s="8"/>
      <c r="E983" s="11"/>
      <c r="F983" s="11"/>
      <c r="H983" s="3"/>
    </row>
    <row r="984" spans="2:8" x14ac:dyDescent="0.25">
      <c r="B984" s="8"/>
      <c r="E984" s="11"/>
      <c r="F984" s="11"/>
      <c r="H984" s="3"/>
    </row>
    <row r="985" spans="2:8" x14ac:dyDescent="0.25">
      <c r="B985" s="8"/>
      <c r="E985" s="11"/>
      <c r="F985" s="11"/>
      <c r="H985" s="3"/>
    </row>
    <row r="986" spans="2:8" x14ac:dyDescent="0.25">
      <c r="B986" s="8"/>
      <c r="E986" s="11"/>
      <c r="F986" s="11"/>
      <c r="H986" s="3"/>
    </row>
    <row r="987" spans="2:8" x14ac:dyDescent="0.25">
      <c r="B987" s="8"/>
      <c r="E987" s="11"/>
      <c r="F987" s="11"/>
      <c r="H987" s="3"/>
    </row>
    <row r="988" spans="2:8" x14ac:dyDescent="0.25">
      <c r="B988" s="8"/>
      <c r="E988" s="11"/>
      <c r="F988" s="11"/>
      <c r="H988" s="3"/>
    </row>
    <row r="989" spans="2:8" x14ac:dyDescent="0.25">
      <c r="B989" s="8"/>
      <c r="E989" s="11"/>
      <c r="F989" s="11"/>
      <c r="H989" s="3"/>
    </row>
    <row r="990" spans="2:8" x14ac:dyDescent="0.25">
      <c r="B990" s="8"/>
      <c r="E990" s="11"/>
      <c r="F990" s="11"/>
      <c r="H990" s="3"/>
    </row>
    <row r="991" spans="2:8" x14ac:dyDescent="0.25">
      <c r="B991" s="8"/>
      <c r="E991" s="11"/>
      <c r="F991" s="11"/>
      <c r="H991" s="3"/>
    </row>
    <row r="992" spans="2:8" x14ac:dyDescent="0.25">
      <c r="B992" s="8"/>
      <c r="E992" s="11"/>
      <c r="F992" s="11"/>
      <c r="H992" s="3"/>
    </row>
    <row r="993" spans="2:8" x14ac:dyDescent="0.25">
      <c r="B993" s="8"/>
      <c r="E993" s="11"/>
      <c r="F993" s="11"/>
      <c r="H993" s="3"/>
    </row>
    <row r="994" spans="2:8" x14ac:dyDescent="0.25">
      <c r="B994" s="8"/>
      <c r="E994" s="11"/>
      <c r="F994" s="11"/>
      <c r="H994" s="3"/>
    </row>
    <row r="995" spans="2:8" x14ac:dyDescent="0.25">
      <c r="B995" s="8"/>
      <c r="E995" s="11"/>
      <c r="F995" s="11"/>
      <c r="H995" s="3"/>
    </row>
    <row r="996" spans="2:8" x14ac:dyDescent="0.25">
      <c r="B996" s="8"/>
      <c r="E996" s="11"/>
      <c r="F996" s="11"/>
      <c r="H996" s="3"/>
    </row>
    <row r="997" spans="2:8" x14ac:dyDescent="0.25">
      <c r="B997" s="8"/>
      <c r="E997" s="11"/>
      <c r="F997" s="11"/>
      <c r="H997" s="3"/>
    </row>
    <row r="998" spans="2:8" x14ac:dyDescent="0.25">
      <c r="B998" s="8"/>
      <c r="E998" s="11"/>
      <c r="F998" s="11"/>
      <c r="H998" s="3"/>
    </row>
    <row r="999" spans="2:8" x14ac:dyDescent="0.25">
      <c r="B999" s="8"/>
      <c r="E999" s="11"/>
      <c r="F999" s="11"/>
      <c r="H999" s="3"/>
    </row>
    <row r="1000" spans="2:8" x14ac:dyDescent="0.25">
      <c r="B1000" s="8"/>
      <c r="E1000" s="11"/>
      <c r="F1000" s="11"/>
      <c r="H1000" s="3"/>
    </row>
  </sheetData>
  <sortState xmlns:xlrd2="http://schemas.microsoft.com/office/spreadsheetml/2017/richdata2" ref="A2:H5">
    <sortCondition ref="E2:E5"/>
  </sortState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1000"/>
  <sheetViews>
    <sheetView topLeftCell="I1" workbookViewId="0">
      <selection activeCell="T12" sqref="T12"/>
    </sheetView>
  </sheetViews>
  <sheetFormatPr defaultColWidth="14.42578125" defaultRowHeight="15" customHeight="1" x14ac:dyDescent="0.25"/>
  <cols>
    <col min="2" max="2" width="8.28515625" style="5" bestFit="1" customWidth="1"/>
    <col min="3" max="3" width="10.140625" style="5" bestFit="1" customWidth="1"/>
    <col min="4" max="4" width="9.140625" style="5" bestFit="1" customWidth="1"/>
    <col min="5" max="5" width="17.28515625" style="4" bestFit="1" customWidth="1"/>
    <col min="6" max="6" width="11.5703125" style="90" bestFit="1" customWidth="1"/>
    <col min="7" max="7" width="15.140625" bestFit="1" customWidth="1"/>
    <col min="8" max="8" width="9.140625" bestFit="1" customWidth="1"/>
    <col min="9" max="9" width="16.85546875" bestFit="1" customWidth="1"/>
    <col min="10" max="10" width="16.7109375" bestFit="1" customWidth="1"/>
    <col min="11" max="11" width="16.140625" bestFit="1" customWidth="1"/>
    <col min="12" max="12" width="9.7109375" bestFit="1" customWidth="1"/>
    <col min="13" max="14" width="8.140625" bestFit="1" customWidth="1"/>
    <col min="15" max="15" width="22.42578125" bestFit="1" customWidth="1"/>
    <col min="16" max="16" width="17.42578125" bestFit="1" customWidth="1"/>
    <col min="17" max="17" width="23" bestFit="1" customWidth="1"/>
    <col min="18" max="18" width="16.28515625" bestFit="1" customWidth="1"/>
    <col min="19" max="21" width="12.7109375" bestFit="1" customWidth="1"/>
    <col min="22" max="22" width="7.28515625" bestFit="1" customWidth="1"/>
    <col min="23" max="23" width="12" bestFit="1" customWidth="1"/>
    <col min="24" max="25" width="8.7109375" customWidth="1"/>
  </cols>
  <sheetData>
    <row r="1" spans="2:23" ht="75" x14ac:dyDescent="0.25">
      <c r="B1" s="16" t="s">
        <v>553</v>
      </c>
      <c r="C1" s="15" t="s">
        <v>554</v>
      </c>
      <c r="D1" s="16" t="s">
        <v>555</v>
      </c>
      <c r="E1" s="24" t="s">
        <v>556</v>
      </c>
      <c r="F1" s="86" t="s">
        <v>557</v>
      </c>
      <c r="G1" s="14" t="s">
        <v>611</v>
      </c>
      <c r="H1" s="14" t="s">
        <v>610</v>
      </c>
      <c r="I1" s="14" t="s">
        <v>630</v>
      </c>
      <c r="J1" s="23" t="s">
        <v>552</v>
      </c>
      <c r="K1" s="23" t="s">
        <v>636</v>
      </c>
      <c r="L1" s="13" t="s">
        <v>1</v>
      </c>
      <c r="M1" s="14" t="s">
        <v>631</v>
      </c>
      <c r="N1" s="14" t="s">
        <v>634</v>
      </c>
      <c r="O1" s="14" t="s">
        <v>635</v>
      </c>
    </row>
    <row r="2" spans="2:23" x14ac:dyDescent="0.25">
      <c r="B2" s="26">
        <v>1135</v>
      </c>
      <c r="C2" s="26">
        <v>88</v>
      </c>
      <c r="D2" s="26">
        <v>344084</v>
      </c>
      <c r="E2" s="27">
        <v>8.06</v>
      </c>
      <c r="F2" s="87">
        <v>5904</v>
      </c>
      <c r="G2" s="32">
        <f>B2-C2</f>
        <v>1047</v>
      </c>
      <c r="H2" s="33">
        <f>G2/D2*100</f>
        <v>0.30428616268120573</v>
      </c>
      <c r="I2" s="20"/>
      <c r="J2" s="25" t="s">
        <v>225</v>
      </c>
      <c r="K2" s="33">
        <v>0.30428616268120573</v>
      </c>
      <c r="L2" s="22" t="s">
        <v>30</v>
      </c>
      <c r="M2" s="43" t="s">
        <v>626</v>
      </c>
      <c r="N2" s="20">
        <f>SUMIFS(G2:G201,$I$2:$I$201,M$2)</f>
        <v>13523</v>
      </c>
      <c r="O2" s="47">
        <f>N2/$D$202*100</f>
        <v>2.5570083527931064E-2</v>
      </c>
      <c r="Q2" s="28" t="s">
        <v>653</v>
      </c>
      <c r="R2" s="28" t="s">
        <v>652</v>
      </c>
    </row>
    <row r="3" spans="2:23" x14ac:dyDescent="0.25">
      <c r="B3" s="26">
        <v>1312</v>
      </c>
      <c r="C3" s="26">
        <v>310</v>
      </c>
      <c r="D3" s="26">
        <v>42654</v>
      </c>
      <c r="E3" s="27">
        <v>4.9800000000000004</v>
      </c>
      <c r="F3" s="87">
        <v>9566</v>
      </c>
      <c r="G3" s="32">
        <f t="shared" ref="G3:G66" si="0">B3-C3</f>
        <v>1002</v>
      </c>
      <c r="H3" s="33">
        <f t="shared" ref="H3:H66" si="1">G3/D3*100</f>
        <v>2.3491348994232664</v>
      </c>
      <c r="I3" s="20"/>
      <c r="J3" s="25" t="s">
        <v>225</v>
      </c>
      <c r="K3" s="33">
        <v>2.3491348994232664</v>
      </c>
      <c r="L3" s="22" t="s">
        <v>40</v>
      </c>
      <c r="M3" s="44" t="s">
        <v>628</v>
      </c>
      <c r="N3" s="20">
        <f>SUMIFS(G3:G202,$I$2:$I$201,M$2)</f>
        <v>12789</v>
      </c>
      <c r="O3" s="47">
        <f>N3/$D$202*100</f>
        <v>2.418219317005919E-2</v>
      </c>
      <c r="Q3" s="28" t="s">
        <v>604</v>
      </c>
      <c r="R3" t="s">
        <v>40</v>
      </c>
      <c r="S3" t="s">
        <v>30</v>
      </c>
      <c r="T3" t="s">
        <v>13</v>
      </c>
      <c r="U3" t="s">
        <v>24</v>
      </c>
      <c r="V3" t="s">
        <v>654</v>
      </c>
      <c r="W3" t="s">
        <v>605</v>
      </c>
    </row>
    <row r="4" spans="2:23" x14ac:dyDescent="0.25">
      <c r="B4" s="26">
        <v>584</v>
      </c>
      <c r="C4" s="26">
        <v>169</v>
      </c>
      <c r="D4" s="26">
        <v>146834</v>
      </c>
      <c r="E4" s="27">
        <v>8.31</v>
      </c>
      <c r="F4" s="87">
        <v>26752</v>
      </c>
      <c r="G4" s="32">
        <f t="shared" si="0"/>
        <v>415</v>
      </c>
      <c r="H4" s="33">
        <f t="shared" si="1"/>
        <v>0.28263208793603661</v>
      </c>
      <c r="I4" s="20"/>
      <c r="J4" s="25" t="s">
        <v>225</v>
      </c>
      <c r="K4" s="33">
        <v>0.28263208793603661</v>
      </c>
      <c r="L4" s="22" t="s">
        <v>13</v>
      </c>
      <c r="M4" s="45" t="s">
        <v>632</v>
      </c>
      <c r="N4" s="20">
        <f>SUMIFS(G4:G203,$I$2:$I$201,M$2)</f>
        <v>12368</v>
      </c>
      <c r="O4" s="47">
        <f>N4/$D$202*100</f>
        <v>2.3386141616020959E-2</v>
      </c>
      <c r="Q4" s="29" t="s">
        <v>225</v>
      </c>
      <c r="R4" s="31">
        <v>2.3491348994232664</v>
      </c>
      <c r="S4" s="31">
        <v>0.30428616268120573</v>
      </c>
      <c r="T4" s="31">
        <v>0.28263208793603661</v>
      </c>
      <c r="U4" s="31">
        <v>0.27557542170624166</v>
      </c>
      <c r="V4" s="31"/>
      <c r="W4" s="31">
        <v>3.2116285717467505</v>
      </c>
    </row>
    <row r="5" spans="2:23" x14ac:dyDescent="0.25">
      <c r="B5" s="26">
        <v>1535</v>
      </c>
      <c r="C5" s="26">
        <v>445</v>
      </c>
      <c r="D5" s="26">
        <v>395536</v>
      </c>
      <c r="E5" s="27">
        <v>4.1100000000000003</v>
      </c>
      <c r="F5" s="87">
        <v>30671</v>
      </c>
      <c r="G5" s="32">
        <f t="shared" si="0"/>
        <v>1090</v>
      </c>
      <c r="H5" s="33">
        <f t="shared" si="1"/>
        <v>0.27557542170624166</v>
      </c>
      <c r="I5" s="20"/>
      <c r="J5" s="25" t="s">
        <v>225</v>
      </c>
      <c r="K5" s="33">
        <v>0.27557542170624166</v>
      </c>
      <c r="L5" s="22" t="s">
        <v>24</v>
      </c>
      <c r="M5" s="46" t="s">
        <v>633</v>
      </c>
      <c r="N5" s="20">
        <f>SUMIFS(G5:G204,$I$2:$I$201,M$2)</f>
        <v>12389</v>
      </c>
      <c r="O5" s="47">
        <f>N5/$D$202*100</f>
        <v>2.3425849650782961E-2</v>
      </c>
      <c r="Q5" s="29" t="s">
        <v>147</v>
      </c>
      <c r="R5" s="31">
        <v>0.40530081660374973</v>
      </c>
      <c r="S5" s="31">
        <v>1.0517322049758935</v>
      </c>
      <c r="T5" s="31">
        <v>7.3128442639386351E-2</v>
      </c>
      <c r="U5" s="31">
        <v>0.24016739232334167</v>
      </c>
      <c r="V5" s="31"/>
      <c r="W5" s="31">
        <v>1.7703288565423712</v>
      </c>
    </row>
    <row r="6" spans="2:23" x14ac:dyDescent="0.25">
      <c r="B6" s="26">
        <v>656</v>
      </c>
      <c r="C6" s="26">
        <v>139</v>
      </c>
      <c r="D6" s="26">
        <v>49157</v>
      </c>
      <c r="E6" s="27">
        <v>9.0500000000000007</v>
      </c>
      <c r="F6" s="87">
        <v>9920</v>
      </c>
      <c r="G6" s="32">
        <f t="shared" si="0"/>
        <v>517</v>
      </c>
      <c r="H6" s="33">
        <f t="shared" si="1"/>
        <v>1.0517322049758935</v>
      </c>
      <c r="I6" s="20"/>
      <c r="J6" s="25" t="s">
        <v>147</v>
      </c>
      <c r="K6" s="33">
        <v>1.0517322049758935</v>
      </c>
      <c r="L6" s="22" t="s">
        <v>30</v>
      </c>
      <c r="Q6" s="29" t="s">
        <v>159</v>
      </c>
      <c r="R6" s="31">
        <v>0.8153584745362723</v>
      </c>
      <c r="S6" s="31">
        <v>0.19542790614208244</v>
      </c>
      <c r="T6" s="31">
        <v>1.0551445425805821</v>
      </c>
      <c r="U6" s="31">
        <v>8.8023800381871797E-2</v>
      </c>
      <c r="V6" s="31"/>
      <c r="W6" s="31">
        <v>2.1539547236408083</v>
      </c>
    </row>
    <row r="7" spans="2:23" x14ac:dyDescent="0.25">
      <c r="B7" s="26">
        <v>1697</v>
      </c>
      <c r="C7" s="26">
        <v>414</v>
      </c>
      <c r="D7" s="26">
        <v>316555</v>
      </c>
      <c r="E7" s="27">
        <v>2.37</v>
      </c>
      <c r="F7" s="87">
        <v>7924</v>
      </c>
      <c r="G7" s="32">
        <f t="shared" si="0"/>
        <v>1283</v>
      </c>
      <c r="H7" s="33">
        <f t="shared" si="1"/>
        <v>0.40530081660374973</v>
      </c>
      <c r="I7" s="20"/>
      <c r="J7" s="25" t="s">
        <v>147</v>
      </c>
      <c r="K7" s="33">
        <v>0.40530081660374973</v>
      </c>
      <c r="L7" s="22" t="s">
        <v>40</v>
      </c>
      <c r="Q7" s="29" t="s">
        <v>45</v>
      </c>
      <c r="R7" s="31">
        <v>6.3510173036698996</v>
      </c>
      <c r="S7" s="31">
        <v>1.7636832660385824</v>
      </c>
      <c r="T7" s="31">
        <v>0.27980604582117208</v>
      </c>
      <c r="U7" s="31">
        <v>-2.8860773750305036E-2</v>
      </c>
      <c r="V7" s="31"/>
      <c r="W7" s="31">
        <v>8.3656458417793491</v>
      </c>
    </row>
    <row r="8" spans="2:23" x14ac:dyDescent="0.25">
      <c r="B8" s="26">
        <v>436</v>
      </c>
      <c r="C8" s="26">
        <v>250</v>
      </c>
      <c r="D8" s="26">
        <v>254347</v>
      </c>
      <c r="E8" s="27">
        <v>4.01</v>
      </c>
      <c r="F8" s="87">
        <v>8912</v>
      </c>
      <c r="G8" s="32">
        <f t="shared" si="0"/>
        <v>186</v>
      </c>
      <c r="H8" s="33">
        <f t="shared" si="1"/>
        <v>7.3128442639386351E-2</v>
      </c>
      <c r="I8" s="20"/>
      <c r="J8" s="25" t="s">
        <v>147</v>
      </c>
      <c r="K8" s="33">
        <v>7.3128442639386351E-2</v>
      </c>
      <c r="L8" s="22" t="s">
        <v>13</v>
      </c>
      <c r="Q8" s="29" t="s">
        <v>444</v>
      </c>
      <c r="R8" s="31">
        <v>2.9088264703208796E-2</v>
      </c>
      <c r="S8" s="31">
        <v>-5.2211602419375981E-2</v>
      </c>
      <c r="T8" s="31">
        <v>0.4303769366169265</v>
      </c>
      <c r="U8" s="31">
        <v>8.0050669434719113E-2</v>
      </c>
      <c r="V8" s="31"/>
      <c r="W8" s="31">
        <v>0.48730426833547841</v>
      </c>
    </row>
    <row r="9" spans="2:23" x14ac:dyDescent="0.25">
      <c r="B9" s="26">
        <v>1197</v>
      </c>
      <c r="C9" s="26">
        <v>203</v>
      </c>
      <c r="D9" s="26">
        <v>413878</v>
      </c>
      <c r="E9" s="27">
        <v>3.16</v>
      </c>
      <c r="F9" s="87">
        <v>21205</v>
      </c>
      <c r="G9" s="32">
        <f t="shared" si="0"/>
        <v>994</v>
      </c>
      <c r="H9" s="33">
        <f t="shared" si="1"/>
        <v>0.24016739232334167</v>
      </c>
      <c r="I9" s="20"/>
      <c r="J9" s="25" t="s">
        <v>147</v>
      </c>
      <c r="K9" s="33">
        <v>0.24016739232334167</v>
      </c>
      <c r="L9" s="22" t="s">
        <v>24</v>
      </c>
      <c r="Q9" s="29" t="s">
        <v>558</v>
      </c>
      <c r="R9" s="31">
        <v>0.12276812319721568</v>
      </c>
      <c r="S9" s="31">
        <v>2.8717173625543171</v>
      </c>
      <c r="T9" s="31">
        <v>0.140324773607655</v>
      </c>
      <c r="U9" s="31">
        <v>0.21994574101175038</v>
      </c>
      <c r="V9" s="31"/>
      <c r="W9" s="31">
        <v>3.354756000370938</v>
      </c>
    </row>
    <row r="10" spans="2:23" x14ac:dyDescent="0.25">
      <c r="B10" s="39">
        <v>1048</v>
      </c>
      <c r="C10" s="39">
        <v>155</v>
      </c>
      <c r="D10" s="39">
        <v>456946</v>
      </c>
      <c r="E10" s="40">
        <v>2.46</v>
      </c>
      <c r="F10" s="88">
        <v>11329</v>
      </c>
      <c r="G10" s="41">
        <f t="shared" si="0"/>
        <v>893</v>
      </c>
      <c r="H10" s="42">
        <f t="shared" si="1"/>
        <v>0.19542790614208244</v>
      </c>
      <c r="I10" s="20" t="s">
        <v>626</v>
      </c>
      <c r="J10" s="37" t="s">
        <v>159</v>
      </c>
      <c r="K10" s="33">
        <v>0.19542790614208244</v>
      </c>
      <c r="L10" s="38" t="s">
        <v>30</v>
      </c>
      <c r="Q10" s="29" t="s">
        <v>308</v>
      </c>
      <c r="R10" s="31">
        <v>-4.9009939454794309E-2</v>
      </c>
      <c r="S10" s="31">
        <v>1.1967386439556591</v>
      </c>
      <c r="T10" s="31">
        <v>0.18982132901478749</v>
      </c>
      <c r="U10" s="31">
        <v>0.10211701333265255</v>
      </c>
      <c r="V10" s="31"/>
      <c r="W10" s="31">
        <v>1.4396670468483048</v>
      </c>
    </row>
    <row r="11" spans="2:23" x14ac:dyDescent="0.25">
      <c r="B11" s="39">
        <v>1753</v>
      </c>
      <c r="C11" s="39">
        <v>371</v>
      </c>
      <c r="D11" s="39">
        <v>169496</v>
      </c>
      <c r="E11" s="40">
        <v>8.11</v>
      </c>
      <c r="F11" s="88">
        <v>46670</v>
      </c>
      <c r="G11" s="41">
        <f t="shared" si="0"/>
        <v>1382</v>
      </c>
      <c r="H11" s="42">
        <f t="shared" si="1"/>
        <v>0.8153584745362723</v>
      </c>
      <c r="I11" s="20" t="s">
        <v>626</v>
      </c>
      <c r="J11" s="37" t="s">
        <v>159</v>
      </c>
      <c r="K11" s="33">
        <v>0.8153584745362723</v>
      </c>
      <c r="L11" s="38" t="s">
        <v>40</v>
      </c>
      <c r="Q11" s="29" t="s">
        <v>559</v>
      </c>
      <c r="R11" s="31">
        <v>0.32572737872501967</v>
      </c>
      <c r="S11" s="31">
        <v>3.3557613568250697E-2</v>
      </c>
      <c r="T11" s="31">
        <v>0.66371458255580551</v>
      </c>
      <c r="U11" s="31">
        <v>0.10340418313957282</v>
      </c>
      <c r="V11" s="31"/>
      <c r="W11" s="31">
        <v>1.1264037579886488</v>
      </c>
    </row>
    <row r="12" spans="2:23" x14ac:dyDescent="0.25">
      <c r="B12" s="39">
        <v>1335</v>
      </c>
      <c r="C12" s="39">
        <v>40</v>
      </c>
      <c r="D12" s="39">
        <v>122732</v>
      </c>
      <c r="E12" s="40">
        <v>8.19</v>
      </c>
      <c r="F12" s="88">
        <v>22482</v>
      </c>
      <c r="G12" s="41">
        <f t="shared" si="0"/>
        <v>1295</v>
      </c>
      <c r="H12" s="42">
        <f t="shared" si="1"/>
        <v>1.0551445425805821</v>
      </c>
      <c r="I12" s="20" t="s">
        <v>626</v>
      </c>
      <c r="J12" s="37" t="s">
        <v>159</v>
      </c>
      <c r="K12" s="33">
        <v>1.0551445425805821</v>
      </c>
      <c r="L12" s="38" t="s">
        <v>13</v>
      </c>
      <c r="Q12" s="29" t="s">
        <v>261</v>
      </c>
      <c r="R12" s="31">
        <v>-7.309773488968678E-2</v>
      </c>
      <c r="S12" s="31">
        <v>2.2861730899256254</v>
      </c>
      <c r="T12" s="31">
        <v>0.51986619096302167</v>
      </c>
      <c r="U12" s="31">
        <v>0.76001216019456308</v>
      </c>
      <c r="V12" s="31"/>
      <c r="W12" s="31">
        <v>3.4929537061935236</v>
      </c>
    </row>
    <row r="13" spans="2:23" x14ac:dyDescent="0.25">
      <c r="B13" s="39">
        <v>403</v>
      </c>
      <c r="C13" s="39">
        <v>66</v>
      </c>
      <c r="D13" s="39">
        <v>382851</v>
      </c>
      <c r="E13" s="40">
        <v>3.49</v>
      </c>
      <c r="F13" s="88">
        <v>24313</v>
      </c>
      <c r="G13" s="41">
        <f t="shared" si="0"/>
        <v>337</v>
      </c>
      <c r="H13" s="42">
        <f t="shared" si="1"/>
        <v>8.8023800381871797E-2</v>
      </c>
      <c r="I13" s="20" t="s">
        <v>626</v>
      </c>
      <c r="J13" s="37" t="s">
        <v>159</v>
      </c>
      <c r="K13" s="33">
        <v>8.8023800381871797E-2</v>
      </c>
      <c r="L13" s="38" t="s">
        <v>24</v>
      </c>
      <c r="Q13" s="29" t="s">
        <v>487</v>
      </c>
      <c r="R13" s="31">
        <v>-0.15755714445670779</v>
      </c>
      <c r="S13" s="31">
        <v>8.0371168669857163E-2</v>
      </c>
      <c r="T13" s="31">
        <v>7.2889860753698937E-2</v>
      </c>
      <c r="U13" s="31">
        <v>9.9485420240137221E-2</v>
      </c>
      <c r="V13" s="31"/>
      <c r="W13" s="31">
        <v>9.5189305206985528E-2</v>
      </c>
    </row>
    <row r="14" spans="2:23" x14ac:dyDescent="0.25">
      <c r="B14" s="39">
        <v>911</v>
      </c>
      <c r="C14" s="39">
        <v>282</v>
      </c>
      <c r="D14" s="39">
        <v>35664</v>
      </c>
      <c r="E14" s="40">
        <v>6.92</v>
      </c>
      <c r="F14" s="88">
        <v>18050</v>
      </c>
      <c r="G14" s="41">
        <f t="shared" si="0"/>
        <v>629</v>
      </c>
      <c r="H14" s="42">
        <f t="shared" si="1"/>
        <v>1.7636832660385824</v>
      </c>
      <c r="I14" s="20" t="s">
        <v>626</v>
      </c>
      <c r="J14" s="37" t="s">
        <v>45</v>
      </c>
      <c r="K14" s="33">
        <v>1.7636832660385824</v>
      </c>
      <c r="L14" s="38" t="s">
        <v>30</v>
      </c>
      <c r="Q14" s="29" t="s">
        <v>31</v>
      </c>
      <c r="R14" s="31">
        <v>0.43366318609156984</v>
      </c>
      <c r="S14" s="31">
        <v>0.27085701202809553</v>
      </c>
      <c r="T14" s="31">
        <v>8.5080354946042956E-3</v>
      </c>
      <c r="U14" s="31">
        <v>1.011348268360087</v>
      </c>
      <c r="V14" s="31"/>
      <c r="W14" s="31">
        <v>1.7243765019743567</v>
      </c>
    </row>
    <row r="15" spans="2:23" x14ac:dyDescent="0.25">
      <c r="B15" s="39">
        <v>1779</v>
      </c>
      <c r="C15" s="39">
        <v>109</v>
      </c>
      <c r="D15" s="39">
        <v>26295</v>
      </c>
      <c r="E15" s="40">
        <v>9.1199999999999992</v>
      </c>
      <c r="F15" s="88">
        <v>30635</v>
      </c>
      <c r="G15" s="41">
        <f t="shared" si="0"/>
        <v>1670</v>
      </c>
      <c r="H15" s="42">
        <f t="shared" si="1"/>
        <v>6.3510173036698996</v>
      </c>
      <c r="I15" s="20" t="s">
        <v>626</v>
      </c>
      <c r="J15" s="37" t="s">
        <v>45</v>
      </c>
      <c r="K15" s="33">
        <v>6.3510173036698996</v>
      </c>
      <c r="L15" s="38" t="s">
        <v>40</v>
      </c>
      <c r="Q15" s="29" t="s">
        <v>78</v>
      </c>
      <c r="R15" s="31">
        <v>0.57523759813836151</v>
      </c>
      <c r="S15" s="31">
        <v>2.335271198731579E-2</v>
      </c>
      <c r="T15" s="31">
        <v>0.88256340939810773</v>
      </c>
      <c r="U15" s="31">
        <v>0.21728440241071326</v>
      </c>
      <c r="V15" s="31"/>
      <c r="W15" s="31">
        <v>1.6984381219344982</v>
      </c>
    </row>
    <row r="16" spans="2:23" x14ac:dyDescent="0.25">
      <c r="B16" s="39">
        <v>1238</v>
      </c>
      <c r="C16" s="39">
        <v>403</v>
      </c>
      <c r="D16" s="39">
        <v>298421</v>
      </c>
      <c r="E16" s="40">
        <v>3.5</v>
      </c>
      <c r="F16" s="88">
        <v>31280</v>
      </c>
      <c r="G16" s="41">
        <f t="shared" si="0"/>
        <v>835</v>
      </c>
      <c r="H16" s="42">
        <f t="shared" si="1"/>
        <v>0.27980604582117208</v>
      </c>
      <c r="I16" s="20" t="s">
        <v>626</v>
      </c>
      <c r="J16" s="37" t="s">
        <v>45</v>
      </c>
      <c r="K16" s="33">
        <v>0.27980604582117208</v>
      </c>
      <c r="L16" s="38" t="s">
        <v>13</v>
      </c>
      <c r="Q16" s="29" t="s">
        <v>74</v>
      </c>
      <c r="R16" s="31">
        <v>9.7527544941747053E-3</v>
      </c>
      <c r="S16" s="31">
        <v>0.35456226214689768</v>
      </c>
      <c r="T16" s="31">
        <v>0.65914381026955704</v>
      </c>
      <c r="U16" s="31">
        <v>1.1713324743561855E-2</v>
      </c>
      <c r="V16" s="31"/>
      <c r="W16" s="31">
        <v>1.0351721516541914</v>
      </c>
    </row>
    <row r="17" spans="2:23" x14ac:dyDescent="0.25">
      <c r="B17" s="39">
        <v>308</v>
      </c>
      <c r="C17" s="39">
        <v>431</v>
      </c>
      <c r="D17" s="39">
        <v>426184</v>
      </c>
      <c r="E17" s="40">
        <v>2.62</v>
      </c>
      <c r="F17" s="88">
        <v>1783</v>
      </c>
      <c r="G17" s="41">
        <f t="shared" si="0"/>
        <v>-123</v>
      </c>
      <c r="H17" s="42">
        <f t="shared" si="1"/>
        <v>-2.8860773750305036E-2</v>
      </c>
      <c r="I17" s="20" t="s">
        <v>626</v>
      </c>
      <c r="J17" s="37" t="s">
        <v>45</v>
      </c>
      <c r="K17" s="33">
        <v>-2.8860773750305036E-2</v>
      </c>
      <c r="L17" s="38" t="s">
        <v>24</v>
      </c>
      <c r="Q17" s="29" t="s">
        <v>189</v>
      </c>
      <c r="R17" s="31">
        <v>0.21026918479944948</v>
      </c>
      <c r="S17" s="31">
        <v>1.2306082974775983</v>
      </c>
      <c r="T17" s="31">
        <v>6.1798299135137513E-2</v>
      </c>
      <c r="U17" s="31">
        <v>8.9764429025449427E-2</v>
      </c>
      <c r="V17" s="31"/>
      <c r="W17" s="31">
        <v>1.5924402104376347</v>
      </c>
    </row>
    <row r="18" spans="2:23" x14ac:dyDescent="0.25">
      <c r="B18" s="39">
        <v>226</v>
      </c>
      <c r="C18" s="39">
        <v>445</v>
      </c>
      <c r="D18" s="39">
        <v>419447</v>
      </c>
      <c r="E18" s="40">
        <v>9.36</v>
      </c>
      <c r="F18" s="88">
        <v>9566</v>
      </c>
      <c r="G18" s="41">
        <f t="shared" si="0"/>
        <v>-219</v>
      </c>
      <c r="H18" s="42">
        <f t="shared" si="1"/>
        <v>-5.2211602419375981E-2</v>
      </c>
      <c r="I18" s="20" t="s">
        <v>626</v>
      </c>
      <c r="J18" s="37" t="s">
        <v>444</v>
      </c>
      <c r="K18" s="33">
        <v>-5.2211602419375981E-2</v>
      </c>
      <c r="L18" s="38" t="s">
        <v>30</v>
      </c>
      <c r="Q18" s="29" t="s">
        <v>84</v>
      </c>
      <c r="R18" s="31">
        <v>0.46435400163889645</v>
      </c>
      <c r="S18" s="31">
        <v>0.41581361392816901</v>
      </c>
      <c r="T18" s="31">
        <v>5.990134708914012E-2</v>
      </c>
      <c r="U18" s="31">
        <v>1.703234597339857</v>
      </c>
      <c r="V18" s="31"/>
      <c r="W18" s="31">
        <v>2.6433035599960624</v>
      </c>
    </row>
    <row r="19" spans="2:23" x14ac:dyDescent="0.25">
      <c r="B19" s="39">
        <v>505</v>
      </c>
      <c r="C19" s="39">
        <v>441</v>
      </c>
      <c r="D19" s="39">
        <v>220020</v>
      </c>
      <c r="E19" s="40">
        <v>4.4800000000000004</v>
      </c>
      <c r="F19" s="88">
        <v>42307</v>
      </c>
      <c r="G19" s="41">
        <f t="shared" si="0"/>
        <v>64</v>
      </c>
      <c r="H19" s="42">
        <f t="shared" si="1"/>
        <v>2.9088264703208796E-2</v>
      </c>
      <c r="I19" s="20" t="s">
        <v>626</v>
      </c>
      <c r="J19" s="37" t="s">
        <v>444</v>
      </c>
      <c r="K19" s="33">
        <v>2.9088264703208796E-2</v>
      </c>
      <c r="L19" s="38" t="s">
        <v>40</v>
      </c>
      <c r="Q19" s="29" t="s">
        <v>560</v>
      </c>
      <c r="R19" s="31">
        <v>2.0668041724136478E-2</v>
      </c>
      <c r="S19" s="31">
        <v>0.74222825979957874</v>
      </c>
      <c r="T19" s="31">
        <v>0.2867301296020186</v>
      </c>
      <c r="U19" s="31">
        <v>-2.6681341404439108E-2</v>
      </c>
      <c r="V19" s="31"/>
      <c r="W19" s="31">
        <v>1.0229450897212946</v>
      </c>
    </row>
    <row r="20" spans="2:23" x14ac:dyDescent="0.25">
      <c r="B20" s="39">
        <v>1420</v>
      </c>
      <c r="C20" s="39">
        <v>63</v>
      </c>
      <c r="D20" s="39">
        <v>315305</v>
      </c>
      <c r="E20" s="40">
        <v>6.19</v>
      </c>
      <c r="F20" s="88">
        <v>5914</v>
      </c>
      <c r="G20" s="41">
        <f t="shared" si="0"/>
        <v>1357</v>
      </c>
      <c r="H20" s="42">
        <f t="shared" si="1"/>
        <v>0.4303769366169265</v>
      </c>
      <c r="I20" s="20" t="s">
        <v>626</v>
      </c>
      <c r="J20" s="37" t="s">
        <v>444</v>
      </c>
      <c r="K20" s="33">
        <v>0.4303769366169265</v>
      </c>
      <c r="L20" s="38" t="s">
        <v>13</v>
      </c>
      <c r="Q20" s="29" t="s">
        <v>561</v>
      </c>
      <c r="R20" s="31">
        <v>-7.924822629956663E-3</v>
      </c>
      <c r="S20" s="31">
        <v>0.15758651286601597</v>
      </c>
      <c r="T20" s="31">
        <v>0.62566104068286432</v>
      </c>
      <c r="U20" s="31">
        <v>1.592351646960128</v>
      </c>
      <c r="V20" s="31"/>
      <c r="W20" s="31">
        <v>2.3676743778790517</v>
      </c>
    </row>
    <row r="21" spans="2:23" x14ac:dyDescent="0.25">
      <c r="B21" s="39">
        <v>144</v>
      </c>
      <c r="C21" s="39">
        <v>53</v>
      </c>
      <c r="D21" s="39">
        <v>113678</v>
      </c>
      <c r="E21" s="40">
        <v>8.7200000000000006</v>
      </c>
      <c r="F21" s="88">
        <v>30060</v>
      </c>
      <c r="G21" s="41">
        <f t="shared" si="0"/>
        <v>91</v>
      </c>
      <c r="H21" s="42">
        <f t="shared" si="1"/>
        <v>8.0050669434719113E-2</v>
      </c>
      <c r="I21" s="20" t="s">
        <v>626</v>
      </c>
      <c r="J21" s="37" t="s">
        <v>444</v>
      </c>
      <c r="K21" s="33">
        <v>8.0050669434719113E-2</v>
      </c>
      <c r="L21" s="38" t="s">
        <v>24</v>
      </c>
      <c r="Q21" s="29" t="s">
        <v>562</v>
      </c>
      <c r="R21" s="31">
        <v>-3.9477485703195474E-2</v>
      </c>
      <c r="S21" s="31">
        <v>0.27682576721248608</v>
      </c>
      <c r="T21" s="31">
        <v>0.92287307798970819</v>
      </c>
      <c r="U21" s="31">
        <v>1.8079694785926241</v>
      </c>
      <c r="V21" s="31"/>
      <c r="W21" s="31">
        <v>2.9681908380916227</v>
      </c>
    </row>
    <row r="22" spans="2:23" x14ac:dyDescent="0.25">
      <c r="B22" s="39">
        <v>1757</v>
      </c>
      <c r="C22" s="39">
        <v>85</v>
      </c>
      <c r="D22" s="39">
        <v>58223</v>
      </c>
      <c r="E22" s="40">
        <v>8.74</v>
      </c>
      <c r="F22" s="88">
        <v>22728</v>
      </c>
      <c r="G22" s="41">
        <f t="shared" si="0"/>
        <v>1672</v>
      </c>
      <c r="H22" s="42">
        <f t="shared" si="1"/>
        <v>2.8717173625543171</v>
      </c>
      <c r="I22" s="20" t="s">
        <v>626</v>
      </c>
      <c r="J22" s="37" t="s">
        <v>558</v>
      </c>
      <c r="K22" s="33">
        <v>2.8717173625543171</v>
      </c>
      <c r="L22" s="38" t="s">
        <v>30</v>
      </c>
      <c r="Q22" s="29" t="s">
        <v>563</v>
      </c>
      <c r="R22" s="31">
        <v>0.43810281972675247</v>
      </c>
      <c r="S22" s="31">
        <v>1.000090820213374</v>
      </c>
      <c r="T22" s="31">
        <v>2.2456063766826309E-2</v>
      </c>
      <c r="U22" s="31">
        <v>0.10019784829366461</v>
      </c>
      <c r="V22" s="31"/>
      <c r="W22" s="31">
        <v>1.5608475520006173</v>
      </c>
    </row>
    <row r="23" spans="2:23" x14ac:dyDescent="0.25">
      <c r="B23" s="39">
        <v>350</v>
      </c>
      <c r="C23" s="39">
        <v>41</v>
      </c>
      <c r="D23" s="39">
        <v>251694</v>
      </c>
      <c r="E23" s="40">
        <v>1.91</v>
      </c>
      <c r="F23" s="88">
        <v>38610</v>
      </c>
      <c r="G23" s="41">
        <f t="shared" si="0"/>
        <v>309</v>
      </c>
      <c r="H23" s="42">
        <f t="shared" si="1"/>
        <v>0.12276812319721568</v>
      </c>
      <c r="I23" s="20" t="s">
        <v>626</v>
      </c>
      <c r="J23" s="37" t="s">
        <v>558</v>
      </c>
      <c r="K23" s="33">
        <v>0.12276812319721568</v>
      </c>
      <c r="L23" s="38" t="s">
        <v>40</v>
      </c>
      <c r="Q23" s="29" t="s">
        <v>564</v>
      </c>
      <c r="R23" s="31">
        <v>0.18083871090552606</v>
      </c>
      <c r="S23" s="31">
        <v>0.31501331857780751</v>
      </c>
      <c r="T23" s="31">
        <v>-6.4563614529395824E-3</v>
      </c>
      <c r="U23" s="31">
        <v>0.18425729749269498</v>
      </c>
      <c r="V23" s="31"/>
      <c r="W23" s="31">
        <v>0.67365296552308895</v>
      </c>
    </row>
    <row r="24" spans="2:23" x14ac:dyDescent="0.25">
      <c r="B24" s="39">
        <v>987</v>
      </c>
      <c r="C24" s="39">
        <v>440</v>
      </c>
      <c r="D24" s="39">
        <v>389810</v>
      </c>
      <c r="E24" s="40">
        <v>4.66</v>
      </c>
      <c r="F24" s="88">
        <v>2932</v>
      </c>
      <c r="G24" s="41">
        <f t="shared" si="0"/>
        <v>547</v>
      </c>
      <c r="H24" s="42">
        <f t="shared" si="1"/>
        <v>0.140324773607655</v>
      </c>
      <c r="I24" s="20" t="s">
        <v>626</v>
      </c>
      <c r="J24" s="37" t="s">
        <v>558</v>
      </c>
      <c r="K24" s="33">
        <v>0.140324773607655</v>
      </c>
      <c r="L24" s="38" t="s">
        <v>13</v>
      </c>
      <c r="Q24" s="29" t="s">
        <v>163</v>
      </c>
      <c r="R24" s="31">
        <v>1.8687212668142346</v>
      </c>
      <c r="S24" s="31">
        <v>7.3371064356504964E-2</v>
      </c>
      <c r="T24" s="31">
        <v>0.24623771231227276</v>
      </c>
      <c r="U24" s="31">
        <v>0.57763419096181545</v>
      </c>
      <c r="V24" s="31"/>
      <c r="W24" s="31">
        <v>2.7659642344448279</v>
      </c>
    </row>
    <row r="25" spans="2:23" x14ac:dyDescent="0.25">
      <c r="B25" s="39">
        <v>883</v>
      </c>
      <c r="C25" s="39">
        <v>369</v>
      </c>
      <c r="D25" s="39">
        <v>233694</v>
      </c>
      <c r="E25" s="40">
        <v>2.88</v>
      </c>
      <c r="F25" s="88">
        <v>15071</v>
      </c>
      <c r="G25" s="41">
        <f t="shared" si="0"/>
        <v>514</v>
      </c>
      <c r="H25" s="42">
        <f t="shared" si="1"/>
        <v>0.21994574101175038</v>
      </c>
      <c r="I25" s="20" t="s">
        <v>626</v>
      </c>
      <c r="J25" s="37" t="s">
        <v>558</v>
      </c>
      <c r="K25" s="33">
        <v>0.21994574101175038</v>
      </c>
      <c r="L25" s="38" t="s">
        <v>24</v>
      </c>
      <c r="Q25" s="29" t="s">
        <v>195</v>
      </c>
      <c r="R25" s="31">
        <v>0.18382090319876945</v>
      </c>
      <c r="S25" s="31">
        <v>0.166223212379012</v>
      </c>
      <c r="T25" s="31">
        <v>1.5381417584701726E-2</v>
      </c>
      <c r="U25" s="31">
        <v>0.54180958515762179</v>
      </c>
      <c r="V25" s="31"/>
      <c r="W25" s="31">
        <v>0.90723511832010506</v>
      </c>
    </row>
    <row r="26" spans="2:23" x14ac:dyDescent="0.25">
      <c r="B26" s="39">
        <v>1960</v>
      </c>
      <c r="C26" s="39">
        <v>115</v>
      </c>
      <c r="D26" s="39">
        <v>154169</v>
      </c>
      <c r="E26" s="40">
        <v>3.74</v>
      </c>
      <c r="F26" s="88">
        <v>10740</v>
      </c>
      <c r="G26" s="41">
        <f t="shared" si="0"/>
        <v>1845</v>
      </c>
      <c r="H26" s="42">
        <f t="shared" si="1"/>
        <v>1.1967386439556591</v>
      </c>
      <c r="I26" s="20" t="s">
        <v>626</v>
      </c>
      <c r="J26" s="37" t="s">
        <v>308</v>
      </c>
      <c r="K26" s="33">
        <v>1.1967386439556591</v>
      </c>
      <c r="L26" s="38" t="s">
        <v>30</v>
      </c>
      <c r="Q26" s="29" t="s">
        <v>275</v>
      </c>
      <c r="R26" s="31">
        <v>0.16918035252172714</v>
      </c>
      <c r="S26" s="31">
        <v>2.5430053699827071</v>
      </c>
      <c r="T26" s="31">
        <v>0.36508153411678962</v>
      </c>
      <c r="U26" s="31">
        <v>0.40317597627286211</v>
      </c>
      <c r="V26" s="31"/>
      <c r="W26" s="31">
        <v>3.480443232894086</v>
      </c>
    </row>
    <row r="27" spans="2:23" x14ac:dyDescent="0.25">
      <c r="B27" s="39">
        <v>170</v>
      </c>
      <c r="C27" s="39">
        <v>334</v>
      </c>
      <c r="D27" s="39">
        <v>334626</v>
      </c>
      <c r="E27" s="40">
        <v>6.44</v>
      </c>
      <c r="F27" s="88">
        <v>43420</v>
      </c>
      <c r="G27" s="41">
        <f t="shared" si="0"/>
        <v>-164</v>
      </c>
      <c r="H27" s="42">
        <f t="shared" si="1"/>
        <v>-4.9009939454794309E-2</v>
      </c>
      <c r="I27" s="20" t="s">
        <v>626</v>
      </c>
      <c r="J27" s="37" t="s">
        <v>308</v>
      </c>
      <c r="K27" s="33">
        <v>-4.9009939454794309E-2</v>
      </c>
      <c r="L27" s="38" t="s">
        <v>40</v>
      </c>
      <c r="Q27" s="29" t="s">
        <v>565</v>
      </c>
      <c r="R27" s="31">
        <v>-3.4250669665215859E-2</v>
      </c>
      <c r="S27" s="31">
        <v>1.7550345364335054</v>
      </c>
      <c r="T27" s="31">
        <v>1.3172212358971422</v>
      </c>
      <c r="U27" s="31">
        <v>0.28821299683708945</v>
      </c>
      <c r="V27" s="31"/>
      <c r="W27" s="31">
        <v>3.3262180995025212</v>
      </c>
    </row>
    <row r="28" spans="2:23" x14ac:dyDescent="0.25">
      <c r="B28" s="39">
        <v>704</v>
      </c>
      <c r="C28" s="39">
        <v>275</v>
      </c>
      <c r="D28" s="39">
        <v>226002</v>
      </c>
      <c r="E28" s="40">
        <v>8.56</v>
      </c>
      <c r="F28" s="88">
        <v>32393</v>
      </c>
      <c r="G28" s="41">
        <f t="shared" si="0"/>
        <v>429</v>
      </c>
      <c r="H28" s="42">
        <f t="shared" si="1"/>
        <v>0.18982132901478749</v>
      </c>
      <c r="I28" s="20" t="s">
        <v>626</v>
      </c>
      <c r="J28" s="37" t="s">
        <v>308</v>
      </c>
      <c r="K28" s="33">
        <v>0.18982132901478749</v>
      </c>
      <c r="L28" s="38" t="s">
        <v>13</v>
      </c>
      <c r="Q28" s="29" t="s">
        <v>64</v>
      </c>
      <c r="R28" s="31">
        <v>2.124852809675163E-2</v>
      </c>
      <c r="S28" s="31">
        <v>-9.5914811987394058E-2</v>
      </c>
      <c r="T28" s="31">
        <v>9.1277744844858608E-2</v>
      </c>
      <c r="U28" s="31">
        <v>1.9887634863023914E-2</v>
      </c>
      <c r="V28" s="31"/>
      <c r="W28" s="31">
        <v>3.6499095817240104E-2</v>
      </c>
    </row>
    <row r="29" spans="2:23" x14ac:dyDescent="0.25">
      <c r="B29" s="39">
        <v>224</v>
      </c>
      <c r="C29" s="39">
        <v>64</v>
      </c>
      <c r="D29" s="39">
        <v>156683</v>
      </c>
      <c r="E29" s="40">
        <v>4.5599999999999996</v>
      </c>
      <c r="F29" s="88">
        <v>28474</v>
      </c>
      <c r="G29" s="41">
        <f t="shared" si="0"/>
        <v>160</v>
      </c>
      <c r="H29" s="42">
        <f t="shared" si="1"/>
        <v>0.10211701333265255</v>
      </c>
      <c r="I29" s="20" t="s">
        <v>626</v>
      </c>
      <c r="J29" s="37" t="s">
        <v>308</v>
      </c>
      <c r="K29" s="33">
        <v>0.10211701333265255</v>
      </c>
      <c r="L29" s="38" t="s">
        <v>24</v>
      </c>
      <c r="Q29" s="29" t="s">
        <v>125</v>
      </c>
      <c r="R29" s="31">
        <v>0.39565022381564841</v>
      </c>
      <c r="S29" s="31">
        <v>0.59936417126309005</v>
      </c>
      <c r="T29" s="31">
        <v>0.11079079758069074</v>
      </c>
      <c r="U29" s="31">
        <v>1.4152074838090669</v>
      </c>
      <c r="V29" s="31"/>
      <c r="W29" s="31">
        <v>2.5210126764684961</v>
      </c>
    </row>
    <row r="30" spans="2:23" x14ac:dyDescent="0.25">
      <c r="B30" s="26">
        <v>508</v>
      </c>
      <c r="C30" s="26">
        <v>349</v>
      </c>
      <c r="D30" s="26">
        <v>473812</v>
      </c>
      <c r="E30" s="27">
        <v>7.88</v>
      </c>
      <c r="F30" s="87">
        <v>17328</v>
      </c>
      <c r="G30" s="32">
        <f t="shared" si="0"/>
        <v>159</v>
      </c>
      <c r="H30" s="33">
        <f t="shared" si="1"/>
        <v>3.3557613568250697E-2</v>
      </c>
      <c r="I30" s="20"/>
      <c r="J30" s="25" t="s">
        <v>559</v>
      </c>
      <c r="K30" s="33">
        <v>3.3557613568250697E-2</v>
      </c>
      <c r="L30" s="22" t="s">
        <v>30</v>
      </c>
      <c r="Q30" s="29" t="s">
        <v>566</v>
      </c>
      <c r="R30" s="31">
        <v>0.36277109484146308</v>
      </c>
      <c r="S30" s="31">
        <v>0.38511033114748661</v>
      </c>
      <c r="T30" s="31">
        <v>0.37850431101244258</v>
      </c>
      <c r="U30" s="31">
        <v>0.13151115811166245</v>
      </c>
      <c r="V30" s="31"/>
      <c r="W30" s="31">
        <v>1.2578968951130547</v>
      </c>
    </row>
    <row r="31" spans="2:23" x14ac:dyDescent="0.25">
      <c r="B31" s="26">
        <v>1391</v>
      </c>
      <c r="C31" s="26">
        <v>430</v>
      </c>
      <c r="D31" s="26">
        <v>295032</v>
      </c>
      <c r="E31" s="27">
        <v>7.86</v>
      </c>
      <c r="F31" s="87">
        <v>26067</v>
      </c>
      <c r="G31" s="32">
        <f t="shared" si="0"/>
        <v>961</v>
      </c>
      <c r="H31" s="33">
        <f t="shared" si="1"/>
        <v>0.32572737872501967</v>
      </c>
      <c r="I31" s="20"/>
      <c r="J31" s="25" t="s">
        <v>559</v>
      </c>
      <c r="K31" s="33">
        <v>0.32572737872501967</v>
      </c>
      <c r="L31" s="22" t="s">
        <v>40</v>
      </c>
      <c r="Q31" s="29" t="s">
        <v>214</v>
      </c>
      <c r="R31" s="31">
        <v>3.8307014117515763</v>
      </c>
      <c r="S31" s="31">
        <v>0.5072161583928636</v>
      </c>
      <c r="T31" s="31">
        <v>8.3806473528412688</v>
      </c>
      <c r="U31" s="31">
        <v>0.12679964770499277</v>
      </c>
      <c r="V31" s="31"/>
      <c r="W31" s="31">
        <v>12.845364570690702</v>
      </c>
    </row>
    <row r="32" spans="2:23" x14ac:dyDescent="0.25">
      <c r="B32" s="26">
        <v>1701</v>
      </c>
      <c r="C32" s="26">
        <v>385</v>
      </c>
      <c r="D32" s="26">
        <v>198278</v>
      </c>
      <c r="E32" s="27">
        <v>5.34</v>
      </c>
      <c r="F32" s="87">
        <v>32763</v>
      </c>
      <c r="G32" s="32">
        <f t="shared" si="0"/>
        <v>1316</v>
      </c>
      <c r="H32" s="33">
        <f t="shared" si="1"/>
        <v>0.66371458255580551</v>
      </c>
      <c r="I32" s="20"/>
      <c r="J32" s="25" t="s">
        <v>559</v>
      </c>
      <c r="K32" s="33">
        <v>0.66371458255580551</v>
      </c>
      <c r="L32" s="22" t="s">
        <v>13</v>
      </c>
      <c r="Q32" s="29" t="s">
        <v>108</v>
      </c>
      <c r="R32" s="31">
        <v>0.33115688467227011</v>
      </c>
      <c r="S32" s="31">
        <v>0.30759118725472717</v>
      </c>
      <c r="T32" s="31">
        <v>0.41536387893013998</v>
      </c>
      <c r="U32" s="31">
        <v>0.17917737946946316</v>
      </c>
      <c r="V32" s="31"/>
      <c r="W32" s="31">
        <v>1.2332893303266004</v>
      </c>
    </row>
    <row r="33" spans="2:23" x14ac:dyDescent="0.25">
      <c r="B33" s="26">
        <v>804</v>
      </c>
      <c r="C33" s="26">
        <v>487</v>
      </c>
      <c r="D33" s="26">
        <v>306564</v>
      </c>
      <c r="E33" s="27">
        <v>5.52</v>
      </c>
      <c r="F33" s="87">
        <v>26452</v>
      </c>
      <c r="G33" s="32">
        <f t="shared" si="0"/>
        <v>317</v>
      </c>
      <c r="H33" s="33">
        <f t="shared" si="1"/>
        <v>0.10340418313957282</v>
      </c>
      <c r="I33" s="20"/>
      <c r="J33" s="25" t="s">
        <v>559</v>
      </c>
      <c r="K33" s="33">
        <v>0.10340418313957282</v>
      </c>
      <c r="L33" s="22" t="s">
        <v>24</v>
      </c>
      <c r="Q33" s="29" t="s">
        <v>14</v>
      </c>
      <c r="R33" s="31">
        <v>0.78202834584935776</v>
      </c>
      <c r="S33" s="31">
        <v>0.24359408109118752</v>
      </c>
      <c r="T33" s="31">
        <v>1.123041457611657</v>
      </c>
      <c r="U33" s="31">
        <v>6.3113158835445047</v>
      </c>
      <c r="V33" s="31"/>
      <c r="W33" s="31">
        <v>8.4599797680967068</v>
      </c>
    </row>
    <row r="34" spans="2:23" x14ac:dyDescent="0.25">
      <c r="B34" s="26">
        <v>653</v>
      </c>
      <c r="C34" s="26">
        <v>112</v>
      </c>
      <c r="D34" s="26">
        <v>23664</v>
      </c>
      <c r="E34" s="27">
        <v>4.05</v>
      </c>
      <c r="F34" s="87">
        <v>15353</v>
      </c>
      <c r="G34" s="32">
        <f t="shared" si="0"/>
        <v>541</v>
      </c>
      <c r="H34" s="33">
        <f t="shared" si="1"/>
        <v>2.2861730899256254</v>
      </c>
      <c r="I34" s="20"/>
      <c r="J34" s="25" t="s">
        <v>261</v>
      </c>
      <c r="K34" s="33">
        <v>2.2861730899256254</v>
      </c>
      <c r="L34" s="22" t="s">
        <v>30</v>
      </c>
      <c r="Q34" s="29" t="s">
        <v>567</v>
      </c>
      <c r="R34" s="31">
        <v>0.46806929323118035</v>
      </c>
      <c r="S34" s="31">
        <v>1.2535155251271271</v>
      </c>
      <c r="T34" s="31">
        <v>0.55634189738421069</v>
      </c>
      <c r="U34" s="31">
        <v>1.0669005078738718</v>
      </c>
      <c r="V34" s="31"/>
      <c r="W34" s="31">
        <v>3.3448272236163898</v>
      </c>
    </row>
    <row r="35" spans="2:23" x14ac:dyDescent="0.25">
      <c r="B35" s="26">
        <v>160</v>
      </c>
      <c r="C35" s="26">
        <v>478</v>
      </c>
      <c r="D35" s="26">
        <v>435034</v>
      </c>
      <c r="E35" s="27">
        <v>7.73</v>
      </c>
      <c r="F35" s="87">
        <v>4839</v>
      </c>
      <c r="G35" s="32">
        <f t="shared" si="0"/>
        <v>-318</v>
      </c>
      <c r="H35" s="33">
        <f t="shared" si="1"/>
        <v>-7.309773488968678E-2</v>
      </c>
      <c r="I35" s="20"/>
      <c r="J35" s="25" t="s">
        <v>261</v>
      </c>
      <c r="K35" s="33">
        <v>-7.309773488968678E-2</v>
      </c>
      <c r="L35" s="22" t="s">
        <v>40</v>
      </c>
      <c r="Q35" s="29" t="s">
        <v>121</v>
      </c>
      <c r="R35" s="31">
        <v>0.64766839378238339</v>
      </c>
      <c r="S35" s="31">
        <v>0.19361810704529764</v>
      </c>
      <c r="T35" s="31">
        <v>0.32008104408927779</v>
      </c>
      <c r="U35" s="31">
        <v>0.88669950738916259</v>
      </c>
      <c r="V35" s="31"/>
      <c r="W35" s="31">
        <v>2.0480670523061217</v>
      </c>
    </row>
    <row r="36" spans="2:23" x14ac:dyDescent="0.25">
      <c r="B36" s="26">
        <v>1756</v>
      </c>
      <c r="C36" s="26">
        <v>261</v>
      </c>
      <c r="D36" s="26">
        <v>287574</v>
      </c>
      <c r="E36" s="27">
        <v>4.3600000000000003</v>
      </c>
      <c r="F36" s="87">
        <v>39272</v>
      </c>
      <c r="G36" s="32">
        <f t="shared" si="0"/>
        <v>1495</v>
      </c>
      <c r="H36" s="33">
        <f t="shared" si="1"/>
        <v>0.51986619096302167</v>
      </c>
      <c r="I36" s="20"/>
      <c r="J36" s="25" t="s">
        <v>261</v>
      </c>
      <c r="K36" s="33">
        <v>0.51986619096302167</v>
      </c>
      <c r="L36" s="22" t="s">
        <v>13</v>
      </c>
      <c r="Q36" s="29" t="s">
        <v>568</v>
      </c>
      <c r="R36" s="31">
        <v>0.13262186302564766</v>
      </c>
      <c r="S36" s="31">
        <v>0.49282654051223052</v>
      </c>
      <c r="T36" s="31">
        <v>-2.9514486693885584E-2</v>
      </c>
      <c r="U36" s="31">
        <v>6.2409087760615085</v>
      </c>
      <c r="V36" s="31"/>
      <c r="W36" s="31">
        <v>6.8368426929055008</v>
      </c>
    </row>
    <row r="37" spans="2:23" x14ac:dyDescent="0.25">
      <c r="B37" s="26">
        <v>576</v>
      </c>
      <c r="C37" s="26">
        <v>101</v>
      </c>
      <c r="D37" s="26">
        <v>62499</v>
      </c>
      <c r="E37" s="27">
        <v>3.48</v>
      </c>
      <c r="F37" s="87">
        <v>16804</v>
      </c>
      <c r="G37" s="32">
        <f t="shared" si="0"/>
        <v>475</v>
      </c>
      <c r="H37" s="33">
        <f t="shared" si="1"/>
        <v>0.76001216019456308</v>
      </c>
      <c r="I37" s="20"/>
      <c r="J37" s="25" t="s">
        <v>261</v>
      </c>
      <c r="K37" s="33">
        <v>0.76001216019456308</v>
      </c>
      <c r="L37" s="22" t="s">
        <v>24</v>
      </c>
      <c r="Q37" s="29" t="s">
        <v>569</v>
      </c>
      <c r="R37" s="31">
        <v>8.905295209493419E-2</v>
      </c>
      <c r="S37" s="31">
        <v>0.40971536250166152</v>
      </c>
      <c r="T37" s="31">
        <v>0.71621491270377158</v>
      </c>
      <c r="U37" s="31">
        <v>0.2148693125665902</v>
      </c>
      <c r="V37" s="31"/>
      <c r="W37" s="31">
        <v>1.4298525398669575</v>
      </c>
    </row>
    <row r="38" spans="2:23" x14ac:dyDescent="0.25">
      <c r="B38" s="26">
        <v>645</v>
      </c>
      <c r="C38" s="26">
        <v>293</v>
      </c>
      <c r="D38" s="26">
        <v>437968</v>
      </c>
      <c r="E38" s="27">
        <v>7.83</v>
      </c>
      <c r="F38" s="87">
        <v>49303</v>
      </c>
      <c r="G38" s="32">
        <f t="shared" si="0"/>
        <v>352</v>
      </c>
      <c r="H38" s="33">
        <f t="shared" si="1"/>
        <v>8.0371168669857163E-2</v>
      </c>
      <c r="I38" s="20"/>
      <c r="J38" s="25" t="s">
        <v>487</v>
      </c>
      <c r="K38" s="33">
        <v>8.0371168669857163E-2</v>
      </c>
      <c r="L38" s="22" t="s">
        <v>30</v>
      </c>
      <c r="Q38" s="29" t="s">
        <v>217</v>
      </c>
      <c r="R38" s="31">
        <v>0.27948348464241363</v>
      </c>
      <c r="S38" s="31">
        <v>-4.6464109274628081E-2</v>
      </c>
      <c r="T38" s="31">
        <v>0.54309533874905258</v>
      </c>
      <c r="U38" s="31">
        <v>0.26534161921203286</v>
      </c>
      <c r="V38" s="31"/>
      <c r="W38" s="31">
        <v>1.0414563333288709</v>
      </c>
    </row>
    <row r="39" spans="2:23" x14ac:dyDescent="0.25">
      <c r="B39" s="26">
        <v>214</v>
      </c>
      <c r="C39" s="26">
        <v>411</v>
      </c>
      <c r="D39" s="26">
        <v>125034</v>
      </c>
      <c r="E39" s="27">
        <v>6.11</v>
      </c>
      <c r="F39" s="87">
        <v>26455</v>
      </c>
      <c r="G39" s="32">
        <f t="shared" si="0"/>
        <v>-197</v>
      </c>
      <c r="H39" s="33">
        <f t="shared" si="1"/>
        <v>-0.15755714445670779</v>
      </c>
      <c r="I39" s="20"/>
      <c r="J39" s="25" t="s">
        <v>487</v>
      </c>
      <c r="K39" s="33">
        <v>-0.15755714445670779</v>
      </c>
      <c r="L39" s="22" t="s">
        <v>40</v>
      </c>
      <c r="Q39" s="29" t="s">
        <v>570</v>
      </c>
      <c r="R39" s="31">
        <v>0.5500525785553031</v>
      </c>
      <c r="S39" s="31">
        <v>0.30720567989168157</v>
      </c>
      <c r="T39" s="31">
        <v>0.32046588643454949</v>
      </c>
      <c r="U39" s="31">
        <v>-7.4972485467156139E-2</v>
      </c>
      <c r="V39" s="31"/>
      <c r="W39" s="31">
        <v>1.102751659414378</v>
      </c>
    </row>
    <row r="40" spans="2:23" x14ac:dyDescent="0.25">
      <c r="B40" s="26">
        <v>826</v>
      </c>
      <c r="C40" s="26">
        <v>498</v>
      </c>
      <c r="D40" s="26">
        <v>449994</v>
      </c>
      <c r="E40" s="27">
        <v>9.43</v>
      </c>
      <c r="F40" s="87">
        <v>12384</v>
      </c>
      <c r="G40" s="32">
        <f t="shared" si="0"/>
        <v>328</v>
      </c>
      <c r="H40" s="33">
        <f t="shared" si="1"/>
        <v>7.2889860753698937E-2</v>
      </c>
      <c r="I40" s="20"/>
      <c r="J40" s="25" t="s">
        <v>487</v>
      </c>
      <c r="K40" s="33">
        <v>7.2889860753698937E-2</v>
      </c>
      <c r="L40" s="22" t="s">
        <v>13</v>
      </c>
      <c r="Q40" s="29" t="s">
        <v>242</v>
      </c>
      <c r="R40" s="31">
        <v>0.29427518601934727</v>
      </c>
      <c r="S40" s="31">
        <v>0.77568587198256844</v>
      </c>
      <c r="T40" s="31">
        <v>0.94958208908059605</v>
      </c>
      <c r="U40" s="31">
        <v>0.29756017144741181</v>
      </c>
      <c r="V40" s="31"/>
      <c r="W40" s="31">
        <v>2.3171033185299232</v>
      </c>
    </row>
    <row r="41" spans="2:23" x14ac:dyDescent="0.25">
      <c r="B41" s="26">
        <v>460</v>
      </c>
      <c r="C41" s="26">
        <v>141</v>
      </c>
      <c r="D41" s="26">
        <v>320650</v>
      </c>
      <c r="E41" s="27">
        <v>4.04</v>
      </c>
      <c r="F41" s="87">
        <v>49372</v>
      </c>
      <c r="G41" s="32">
        <f t="shared" si="0"/>
        <v>319</v>
      </c>
      <c r="H41" s="33">
        <f t="shared" si="1"/>
        <v>9.9485420240137221E-2</v>
      </c>
      <c r="I41" s="20"/>
      <c r="J41" s="25" t="s">
        <v>487</v>
      </c>
      <c r="K41" s="33">
        <v>9.9485420240137221E-2</v>
      </c>
      <c r="L41" s="22" t="s">
        <v>24</v>
      </c>
      <c r="Q41" s="29" t="s">
        <v>123</v>
      </c>
      <c r="R41" s="31">
        <v>1.5147617822744293</v>
      </c>
      <c r="S41" s="31">
        <v>0.21291007252180397</v>
      </c>
      <c r="T41" s="31">
        <v>-2.5410691720235155E-2</v>
      </c>
      <c r="U41" s="31">
        <v>1.1086997546706925</v>
      </c>
      <c r="V41" s="31"/>
      <c r="W41" s="31">
        <v>2.8109609177466908</v>
      </c>
    </row>
    <row r="42" spans="2:23" x14ac:dyDescent="0.25">
      <c r="B42" s="26">
        <v>1528</v>
      </c>
      <c r="C42" s="26">
        <v>203</v>
      </c>
      <c r="D42" s="26">
        <v>489188</v>
      </c>
      <c r="E42" s="27">
        <v>6.23</v>
      </c>
      <c r="F42" s="87">
        <v>47101</v>
      </c>
      <c r="G42" s="32">
        <f t="shared" si="0"/>
        <v>1325</v>
      </c>
      <c r="H42" s="33">
        <f t="shared" si="1"/>
        <v>0.27085701202809553</v>
      </c>
      <c r="I42" s="20"/>
      <c r="J42" s="25" t="s">
        <v>31</v>
      </c>
      <c r="K42" s="33">
        <v>0.27085701202809553</v>
      </c>
      <c r="L42" s="22" t="s">
        <v>30</v>
      </c>
      <c r="Q42" s="29" t="s">
        <v>143</v>
      </c>
      <c r="R42" s="31">
        <v>0.74073109768798173</v>
      </c>
      <c r="S42" s="31">
        <v>1.08675033985647</v>
      </c>
      <c r="T42" s="31">
        <v>0.22333891680625351</v>
      </c>
      <c r="U42" s="31">
        <v>0.21885278918832757</v>
      </c>
      <c r="V42" s="31"/>
      <c r="W42" s="31">
        <v>2.2696731435390327</v>
      </c>
    </row>
    <row r="43" spans="2:23" x14ac:dyDescent="0.25">
      <c r="B43" s="26">
        <v>1534</v>
      </c>
      <c r="C43" s="26">
        <v>200</v>
      </c>
      <c r="D43" s="26">
        <v>307612</v>
      </c>
      <c r="E43" s="27">
        <v>6.01</v>
      </c>
      <c r="F43" s="87">
        <v>37903</v>
      </c>
      <c r="G43" s="32">
        <f t="shared" si="0"/>
        <v>1334</v>
      </c>
      <c r="H43" s="33">
        <f t="shared" si="1"/>
        <v>0.43366318609156984</v>
      </c>
      <c r="I43" s="20"/>
      <c r="J43" s="25" t="s">
        <v>31</v>
      </c>
      <c r="K43" s="33">
        <v>0.43366318609156984</v>
      </c>
      <c r="L43" s="22" t="s">
        <v>40</v>
      </c>
      <c r="Q43" s="29" t="s">
        <v>191</v>
      </c>
      <c r="R43" s="31">
        <v>-3.2435585380545737E-2</v>
      </c>
      <c r="S43" s="31">
        <v>0.51052298518124528</v>
      </c>
      <c r="T43" s="31">
        <v>0.19268070513850935</v>
      </c>
      <c r="U43" s="31">
        <v>0.14029055733207443</v>
      </c>
      <c r="V43" s="31"/>
      <c r="W43" s="31">
        <v>0.81105866227128331</v>
      </c>
    </row>
    <row r="44" spans="2:23" x14ac:dyDescent="0.25">
      <c r="B44" s="26">
        <v>485</v>
      </c>
      <c r="C44" s="26">
        <v>448</v>
      </c>
      <c r="D44" s="26">
        <v>434883</v>
      </c>
      <c r="E44" s="27">
        <v>8.5500000000000007</v>
      </c>
      <c r="F44" s="87">
        <v>33258</v>
      </c>
      <c r="G44" s="32">
        <f t="shared" si="0"/>
        <v>37</v>
      </c>
      <c r="H44" s="33">
        <f t="shared" si="1"/>
        <v>8.5080354946042956E-3</v>
      </c>
      <c r="I44" s="20"/>
      <c r="J44" s="25" t="s">
        <v>31</v>
      </c>
      <c r="K44" s="33">
        <v>8.5080354946042956E-3</v>
      </c>
      <c r="L44" s="22" t="s">
        <v>13</v>
      </c>
      <c r="Q44" s="29" t="s">
        <v>571</v>
      </c>
      <c r="R44" s="31">
        <v>0.26639909400836753</v>
      </c>
      <c r="S44" s="31">
        <v>4.5873346287504703E-2</v>
      </c>
      <c r="T44" s="31">
        <v>10.825114265095021</v>
      </c>
      <c r="U44" s="31">
        <v>1.2622336046830696</v>
      </c>
      <c r="V44" s="31"/>
      <c r="W44" s="31">
        <v>12.399620310073963</v>
      </c>
    </row>
    <row r="45" spans="2:23" x14ac:dyDescent="0.25">
      <c r="B45" s="26">
        <v>1210</v>
      </c>
      <c r="C45" s="26">
        <v>178</v>
      </c>
      <c r="D45" s="26">
        <v>102042</v>
      </c>
      <c r="E45" s="27">
        <v>5.42</v>
      </c>
      <c r="F45" s="87">
        <v>6915</v>
      </c>
      <c r="G45" s="32">
        <f t="shared" si="0"/>
        <v>1032</v>
      </c>
      <c r="H45" s="33">
        <f t="shared" si="1"/>
        <v>1.011348268360087</v>
      </c>
      <c r="I45" s="20"/>
      <c r="J45" s="25" t="s">
        <v>31</v>
      </c>
      <c r="K45" s="33">
        <v>1.011348268360087</v>
      </c>
      <c r="L45" s="22" t="s">
        <v>24</v>
      </c>
      <c r="Q45" s="29" t="s">
        <v>572</v>
      </c>
      <c r="R45" s="31">
        <v>0.32619275185675578</v>
      </c>
      <c r="S45" s="31">
        <v>0.16572027392586453</v>
      </c>
      <c r="T45" s="31">
        <v>6.9173294769824052</v>
      </c>
      <c r="U45" s="31">
        <v>7.9689298043728432</v>
      </c>
      <c r="V45" s="31"/>
      <c r="W45" s="31">
        <v>15.378172307137868</v>
      </c>
    </row>
    <row r="46" spans="2:23" x14ac:dyDescent="0.25">
      <c r="B46" s="26">
        <v>215</v>
      </c>
      <c r="C46" s="26">
        <v>139</v>
      </c>
      <c r="D46" s="26">
        <v>325444</v>
      </c>
      <c r="E46" s="27">
        <v>3.25</v>
      </c>
      <c r="F46" s="87">
        <v>35501</v>
      </c>
      <c r="G46" s="32">
        <f t="shared" si="0"/>
        <v>76</v>
      </c>
      <c r="H46" s="33">
        <f t="shared" si="1"/>
        <v>2.335271198731579E-2</v>
      </c>
      <c r="I46" s="20"/>
      <c r="J46" s="25" t="s">
        <v>78</v>
      </c>
      <c r="K46" s="33">
        <v>2.335271198731579E-2</v>
      </c>
      <c r="L46" s="22" t="s">
        <v>30</v>
      </c>
      <c r="Q46" s="29" t="s">
        <v>227</v>
      </c>
      <c r="R46" s="31">
        <v>0.1268716241173857</v>
      </c>
      <c r="S46" s="31">
        <v>0.12636715002329982</v>
      </c>
      <c r="T46" s="31">
        <v>0.13832962243592781</v>
      </c>
      <c r="U46" s="31">
        <v>8.8022790888170319E-2</v>
      </c>
      <c r="V46" s="31"/>
      <c r="W46" s="31">
        <v>0.47959118746478369</v>
      </c>
    </row>
    <row r="47" spans="2:23" x14ac:dyDescent="0.25">
      <c r="B47" s="26">
        <v>1078</v>
      </c>
      <c r="C47" s="26">
        <v>20</v>
      </c>
      <c r="D47" s="26">
        <v>183924</v>
      </c>
      <c r="E47" s="27">
        <v>8.84</v>
      </c>
      <c r="F47" s="87">
        <v>14203</v>
      </c>
      <c r="G47" s="32">
        <f t="shared" si="0"/>
        <v>1058</v>
      </c>
      <c r="H47" s="33">
        <f t="shared" si="1"/>
        <v>0.57523759813836151</v>
      </c>
      <c r="I47" s="20"/>
      <c r="J47" s="25" t="s">
        <v>78</v>
      </c>
      <c r="K47" s="33">
        <v>0.57523759813836151</v>
      </c>
      <c r="L47" s="22" t="s">
        <v>40</v>
      </c>
      <c r="Q47" s="29" t="s">
        <v>573</v>
      </c>
      <c r="R47" s="31">
        <v>0.13889264193260734</v>
      </c>
      <c r="S47" s="31">
        <v>0.22667798288422092</v>
      </c>
      <c r="T47" s="31">
        <v>0.84497101083942527</v>
      </c>
      <c r="U47" s="31">
        <v>0.33667947287974553</v>
      </c>
      <c r="V47" s="31"/>
      <c r="W47" s="31">
        <v>1.547221108535999</v>
      </c>
    </row>
    <row r="48" spans="2:23" x14ac:dyDescent="0.25">
      <c r="B48" s="26">
        <v>1751</v>
      </c>
      <c r="C48" s="26">
        <v>86</v>
      </c>
      <c r="D48" s="26">
        <v>188655</v>
      </c>
      <c r="E48" s="27">
        <v>7.24</v>
      </c>
      <c r="F48" s="87">
        <v>22206</v>
      </c>
      <c r="G48" s="32">
        <f t="shared" si="0"/>
        <v>1665</v>
      </c>
      <c r="H48" s="33">
        <f t="shared" si="1"/>
        <v>0.88256340939810773</v>
      </c>
      <c r="I48" s="20"/>
      <c r="J48" s="25" t="s">
        <v>78</v>
      </c>
      <c r="K48" s="33">
        <v>0.88256340939810773</v>
      </c>
      <c r="L48" s="22" t="s">
        <v>13</v>
      </c>
      <c r="Q48" s="29" t="s">
        <v>403</v>
      </c>
      <c r="R48" s="31">
        <v>1.0436528865268369</v>
      </c>
      <c r="S48" s="31">
        <v>0.21195852212872357</v>
      </c>
      <c r="T48" s="31">
        <v>3.4032917638311533</v>
      </c>
      <c r="U48" s="31">
        <v>7.1981098934404214E-2</v>
      </c>
      <c r="V48" s="31"/>
      <c r="W48" s="31">
        <v>4.7308842714211172</v>
      </c>
    </row>
    <row r="49" spans="2:23" x14ac:dyDescent="0.25">
      <c r="B49" s="26">
        <v>221</v>
      </c>
      <c r="C49" s="26">
        <v>31</v>
      </c>
      <c r="D49" s="26">
        <v>87443</v>
      </c>
      <c r="E49" s="27">
        <v>6.19</v>
      </c>
      <c r="F49" s="87">
        <v>10283</v>
      </c>
      <c r="G49" s="32">
        <f t="shared" si="0"/>
        <v>190</v>
      </c>
      <c r="H49" s="33">
        <f t="shared" si="1"/>
        <v>0.21728440241071326</v>
      </c>
      <c r="I49" s="20"/>
      <c r="J49" s="25" t="s">
        <v>78</v>
      </c>
      <c r="K49" s="33">
        <v>0.21728440241071326</v>
      </c>
      <c r="L49" s="22" t="s">
        <v>24</v>
      </c>
      <c r="Q49" s="29" t="s">
        <v>574</v>
      </c>
      <c r="R49" s="31">
        <v>-0.24750024750024749</v>
      </c>
      <c r="S49" s="31">
        <v>-0.2399448126930806</v>
      </c>
      <c r="T49" s="31">
        <v>3.7191155522184875E-2</v>
      </c>
      <c r="U49" s="31">
        <v>3.9239564305527365E-2</v>
      </c>
      <c r="V49" s="31"/>
      <c r="W49" s="31">
        <v>-0.41101434036561585</v>
      </c>
    </row>
    <row r="50" spans="2:23" x14ac:dyDescent="0.25">
      <c r="B50" s="26">
        <v>1685</v>
      </c>
      <c r="C50" s="26">
        <v>76</v>
      </c>
      <c r="D50" s="26">
        <v>453799</v>
      </c>
      <c r="E50" s="27">
        <v>5.71</v>
      </c>
      <c r="F50" s="87">
        <v>24913</v>
      </c>
      <c r="G50" s="32">
        <f t="shared" si="0"/>
        <v>1609</v>
      </c>
      <c r="H50" s="33">
        <f t="shared" si="1"/>
        <v>0.35456226214689768</v>
      </c>
      <c r="I50" s="20"/>
      <c r="J50" s="25" t="s">
        <v>74</v>
      </c>
      <c r="K50" s="33">
        <v>0.35456226214689768</v>
      </c>
      <c r="L50" s="22" t="s">
        <v>30</v>
      </c>
      <c r="Q50" s="29" t="s">
        <v>575</v>
      </c>
      <c r="R50" s="31">
        <v>0.27690774864725926</v>
      </c>
      <c r="S50" s="31">
        <v>0.95802484827301337</v>
      </c>
      <c r="T50" s="31">
        <v>0.22734693021737243</v>
      </c>
      <c r="U50" s="31">
        <v>0.60267642955734835</v>
      </c>
      <c r="V50" s="31"/>
      <c r="W50" s="31">
        <v>2.0649559566949938</v>
      </c>
    </row>
    <row r="51" spans="2:23" x14ac:dyDescent="0.25">
      <c r="B51" s="26">
        <v>248</v>
      </c>
      <c r="C51" s="26">
        <v>211</v>
      </c>
      <c r="D51" s="26">
        <v>379380</v>
      </c>
      <c r="E51" s="27">
        <v>9.0399999999999991</v>
      </c>
      <c r="F51" s="87">
        <v>26925</v>
      </c>
      <c r="G51" s="32">
        <f t="shared" si="0"/>
        <v>37</v>
      </c>
      <c r="H51" s="33">
        <f t="shared" si="1"/>
        <v>9.7527544941747053E-3</v>
      </c>
      <c r="I51" s="20"/>
      <c r="J51" s="25" t="s">
        <v>74</v>
      </c>
      <c r="K51" s="33">
        <v>9.7527544941747053E-3</v>
      </c>
      <c r="L51" s="22" t="s">
        <v>40</v>
      </c>
      <c r="Q51" s="29" t="s">
        <v>355</v>
      </c>
      <c r="R51" s="31">
        <v>0.2014855668727483</v>
      </c>
      <c r="S51" s="31">
        <v>0.34511059684624079</v>
      </c>
      <c r="T51" s="31">
        <v>0.19454574184929271</v>
      </c>
      <c r="U51" s="31">
        <v>5.5706165282028861</v>
      </c>
      <c r="V51" s="31"/>
      <c r="W51" s="31">
        <v>6.3117584337711676</v>
      </c>
    </row>
    <row r="52" spans="2:23" x14ac:dyDescent="0.25">
      <c r="B52" s="26">
        <v>1300</v>
      </c>
      <c r="C52" s="26">
        <v>71</v>
      </c>
      <c r="D52" s="26">
        <v>186454</v>
      </c>
      <c r="E52" s="27">
        <v>3.91</v>
      </c>
      <c r="F52" s="87">
        <v>9942</v>
      </c>
      <c r="G52" s="32">
        <f t="shared" si="0"/>
        <v>1229</v>
      </c>
      <c r="H52" s="33">
        <f t="shared" si="1"/>
        <v>0.65914381026955704</v>
      </c>
      <c r="I52" s="20"/>
      <c r="J52" s="25" t="s">
        <v>74</v>
      </c>
      <c r="K52" s="33">
        <v>0.65914381026955704</v>
      </c>
      <c r="L52" s="22" t="s">
        <v>13</v>
      </c>
      <c r="Q52" s="29" t="s">
        <v>76</v>
      </c>
      <c r="R52" s="31">
        <v>8.0965664826031306E-2</v>
      </c>
      <c r="S52" s="31">
        <v>0.41995793722733987</v>
      </c>
      <c r="T52" s="31">
        <v>0.311749015203442</v>
      </c>
      <c r="U52" s="31">
        <v>0.58190830903102841</v>
      </c>
      <c r="V52" s="31"/>
      <c r="W52" s="31">
        <v>1.3945809262878415</v>
      </c>
    </row>
    <row r="53" spans="2:23" x14ac:dyDescent="0.25">
      <c r="B53" s="26">
        <v>422</v>
      </c>
      <c r="C53" s="26">
        <v>394</v>
      </c>
      <c r="D53" s="26">
        <v>239044</v>
      </c>
      <c r="E53" s="27">
        <v>7.83</v>
      </c>
      <c r="F53" s="87">
        <v>32929</v>
      </c>
      <c r="G53" s="32">
        <f t="shared" si="0"/>
        <v>28</v>
      </c>
      <c r="H53" s="33">
        <f t="shared" si="1"/>
        <v>1.1713324743561855E-2</v>
      </c>
      <c r="I53" s="20"/>
      <c r="J53" s="25" t="s">
        <v>74</v>
      </c>
      <c r="K53" s="33">
        <v>1.1713324743561855E-2</v>
      </c>
      <c r="L53" s="22" t="s">
        <v>24</v>
      </c>
      <c r="Q53" s="29" t="s">
        <v>25</v>
      </c>
      <c r="R53" s="31">
        <v>0.11156186612576065</v>
      </c>
      <c r="S53" s="31">
        <v>0.35361871958419905</v>
      </c>
      <c r="T53" s="31">
        <v>5.8952701962314107E-2</v>
      </c>
      <c r="U53" s="31">
        <v>-0.4081978730104896</v>
      </c>
      <c r="V53" s="31"/>
      <c r="W53" s="31">
        <v>0.11593541466178414</v>
      </c>
    </row>
    <row r="54" spans="2:23" x14ac:dyDescent="0.25">
      <c r="B54" s="26">
        <v>1429</v>
      </c>
      <c r="C54" s="26">
        <v>182</v>
      </c>
      <c r="D54" s="26">
        <v>101332</v>
      </c>
      <c r="E54" s="27">
        <v>7.16</v>
      </c>
      <c r="F54" s="87">
        <v>37829</v>
      </c>
      <c r="G54" s="32">
        <f t="shared" si="0"/>
        <v>1247</v>
      </c>
      <c r="H54" s="33">
        <f t="shared" si="1"/>
        <v>1.2306082974775983</v>
      </c>
      <c r="I54" s="20"/>
      <c r="J54" s="25" t="s">
        <v>189</v>
      </c>
      <c r="K54" s="33">
        <v>1.2306082974775983</v>
      </c>
      <c r="L54" s="22" t="s">
        <v>30</v>
      </c>
      <c r="Q54" s="29" t="s">
        <v>654</v>
      </c>
      <c r="R54" s="31"/>
      <c r="S54" s="31"/>
      <c r="T54" s="31"/>
      <c r="U54" s="31"/>
      <c r="V54" s="31"/>
      <c r="W54" s="31"/>
    </row>
    <row r="55" spans="2:23" x14ac:dyDescent="0.25">
      <c r="B55" s="26">
        <v>1520</v>
      </c>
      <c r="C55" s="26">
        <v>475</v>
      </c>
      <c r="D55" s="26">
        <v>496982</v>
      </c>
      <c r="E55" s="27">
        <v>6.41</v>
      </c>
      <c r="F55" s="87">
        <v>24384</v>
      </c>
      <c r="G55" s="32">
        <f t="shared" si="0"/>
        <v>1045</v>
      </c>
      <c r="H55" s="33">
        <f t="shared" si="1"/>
        <v>0.21026918479944948</v>
      </c>
      <c r="I55" s="20"/>
      <c r="J55" s="25" t="s">
        <v>189</v>
      </c>
      <c r="K55" s="33">
        <v>0.21026918479944948</v>
      </c>
      <c r="L55" s="22" t="s">
        <v>40</v>
      </c>
      <c r="Q55" s="29" t="s">
        <v>605</v>
      </c>
      <c r="R55" s="31">
        <v>27.324953416486316</v>
      </c>
      <c r="S55" s="31">
        <v>28.812660632475907</v>
      </c>
      <c r="T55" s="31">
        <v>46.40012838310669</v>
      </c>
      <c r="U55" s="31">
        <v>45.105333156680032</v>
      </c>
      <c r="V55" s="31"/>
      <c r="W55" s="31">
        <v>147.64307558874893</v>
      </c>
    </row>
    <row r="56" spans="2:23" x14ac:dyDescent="0.25">
      <c r="B56" s="26">
        <v>557</v>
      </c>
      <c r="C56" s="26">
        <v>360</v>
      </c>
      <c r="D56" s="26">
        <v>318779</v>
      </c>
      <c r="E56" s="27">
        <v>8.02</v>
      </c>
      <c r="F56" s="87">
        <v>25797</v>
      </c>
      <c r="G56" s="32">
        <f t="shared" si="0"/>
        <v>197</v>
      </c>
      <c r="H56" s="33">
        <f t="shared" si="1"/>
        <v>6.1798299135137513E-2</v>
      </c>
      <c r="I56" s="20"/>
      <c r="J56" s="25" t="s">
        <v>189</v>
      </c>
      <c r="K56" s="33">
        <v>6.1798299135137513E-2</v>
      </c>
      <c r="L56" s="22" t="s">
        <v>13</v>
      </c>
    </row>
    <row r="57" spans="2:23" x14ac:dyDescent="0.25">
      <c r="B57" s="26">
        <v>728</v>
      </c>
      <c r="C57" s="26">
        <v>395</v>
      </c>
      <c r="D57" s="26">
        <v>370971</v>
      </c>
      <c r="E57" s="27">
        <v>3.86</v>
      </c>
      <c r="F57" s="87">
        <v>12646</v>
      </c>
      <c r="G57" s="32">
        <f t="shared" si="0"/>
        <v>333</v>
      </c>
      <c r="H57" s="33">
        <f t="shared" si="1"/>
        <v>8.9764429025449427E-2</v>
      </c>
      <c r="I57" s="20"/>
      <c r="J57" s="25" t="s">
        <v>189</v>
      </c>
      <c r="K57" s="33">
        <v>8.9764429025449427E-2</v>
      </c>
      <c r="L57" s="22" t="s">
        <v>24</v>
      </c>
    </row>
    <row r="58" spans="2:23" x14ac:dyDescent="0.25">
      <c r="B58" s="26">
        <v>1592</v>
      </c>
      <c r="C58" s="26">
        <v>20</v>
      </c>
      <c r="D58" s="26">
        <v>378054</v>
      </c>
      <c r="E58" s="27">
        <v>9.09</v>
      </c>
      <c r="F58" s="87">
        <v>26663</v>
      </c>
      <c r="G58" s="32">
        <f t="shared" si="0"/>
        <v>1572</v>
      </c>
      <c r="H58" s="33">
        <f t="shared" si="1"/>
        <v>0.41581361392816901</v>
      </c>
      <c r="I58" s="20"/>
      <c r="J58" s="25" t="s">
        <v>84</v>
      </c>
      <c r="K58" s="33">
        <v>0.41581361392816901</v>
      </c>
      <c r="L58" s="22" t="s">
        <v>30</v>
      </c>
    </row>
    <row r="59" spans="2:23" x14ac:dyDescent="0.25">
      <c r="B59" s="26">
        <v>1842</v>
      </c>
      <c r="C59" s="26">
        <v>414</v>
      </c>
      <c r="D59" s="26">
        <v>307524</v>
      </c>
      <c r="E59" s="27">
        <v>1.76</v>
      </c>
      <c r="F59" s="87">
        <v>40478</v>
      </c>
      <c r="G59" s="32">
        <f t="shared" si="0"/>
        <v>1428</v>
      </c>
      <c r="H59" s="33">
        <f t="shared" si="1"/>
        <v>0.46435400163889645</v>
      </c>
      <c r="I59" s="20"/>
      <c r="J59" s="25" t="s">
        <v>84</v>
      </c>
      <c r="K59" s="33">
        <v>0.46435400163889645</v>
      </c>
      <c r="L59" s="22" t="s">
        <v>40</v>
      </c>
    </row>
    <row r="60" spans="2:23" x14ac:dyDescent="0.25">
      <c r="B60" s="26">
        <v>751</v>
      </c>
      <c r="C60" s="26">
        <v>491</v>
      </c>
      <c r="D60" s="26">
        <v>434047</v>
      </c>
      <c r="E60" s="27">
        <v>9.24</v>
      </c>
      <c r="F60" s="87">
        <v>15476</v>
      </c>
      <c r="G60" s="32">
        <f t="shared" si="0"/>
        <v>260</v>
      </c>
      <c r="H60" s="33">
        <f t="shared" si="1"/>
        <v>5.990134708914012E-2</v>
      </c>
      <c r="I60" s="20"/>
      <c r="J60" s="25" t="s">
        <v>84</v>
      </c>
      <c r="K60" s="33">
        <v>5.990134708914012E-2</v>
      </c>
      <c r="L60" s="22" t="s">
        <v>13</v>
      </c>
    </row>
    <row r="61" spans="2:23" x14ac:dyDescent="0.25">
      <c r="B61" s="26">
        <v>1409</v>
      </c>
      <c r="C61" s="26">
        <v>309</v>
      </c>
      <c r="D61" s="26">
        <v>64583</v>
      </c>
      <c r="E61" s="27">
        <v>8.99</v>
      </c>
      <c r="F61" s="87">
        <v>10217</v>
      </c>
      <c r="G61" s="32">
        <f t="shared" si="0"/>
        <v>1100</v>
      </c>
      <c r="H61" s="33">
        <f t="shared" si="1"/>
        <v>1.703234597339857</v>
      </c>
      <c r="I61" s="20"/>
      <c r="J61" s="25" t="s">
        <v>84</v>
      </c>
      <c r="K61" s="33">
        <v>1.703234597339857</v>
      </c>
      <c r="L61" s="22" t="s">
        <v>24</v>
      </c>
    </row>
    <row r="62" spans="2:23" x14ac:dyDescent="0.25">
      <c r="B62" s="26">
        <v>778</v>
      </c>
      <c r="C62" s="26">
        <v>401</v>
      </c>
      <c r="D62" s="26">
        <v>50793</v>
      </c>
      <c r="E62" s="27">
        <v>3.4</v>
      </c>
      <c r="F62" s="87">
        <v>21939</v>
      </c>
      <c r="G62" s="32">
        <f t="shared" si="0"/>
        <v>377</v>
      </c>
      <c r="H62" s="33">
        <f t="shared" si="1"/>
        <v>0.74222825979957874</v>
      </c>
      <c r="I62" s="20"/>
      <c r="J62" s="25" t="s">
        <v>560</v>
      </c>
      <c r="K62" s="33">
        <v>0.74222825979957874</v>
      </c>
      <c r="L62" s="22" t="s">
        <v>30</v>
      </c>
    </row>
    <row r="63" spans="2:23" x14ac:dyDescent="0.25">
      <c r="B63" s="26">
        <v>443</v>
      </c>
      <c r="C63" s="26">
        <v>345</v>
      </c>
      <c r="D63" s="26">
        <v>474162</v>
      </c>
      <c r="E63" s="27">
        <v>9.1999999999999993</v>
      </c>
      <c r="F63" s="87">
        <v>47462</v>
      </c>
      <c r="G63" s="32">
        <f t="shared" si="0"/>
        <v>98</v>
      </c>
      <c r="H63" s="33">
        <f t="shared" si="1"/>
        <v>2.0668041724136478E-2</v>
      </c>
      <c r="I63" s="20"/>
      <c r="J63" s="25" t="s">
        <v>560</v>
      </c>
      <c r="K63" s="33">
        <v>2.0668041724136478E-2</v>
      </c>
      <c r="L63" s="22" t="s">
        <v>40</v>
      </c>
    </row>
    <row r="64" spans="2:23" x14ac:dyDescent="0.25">
      <c r="B64" s="26">
        <v>1472</v>
      </c>
      <c r="C64" s="26">
        <v>347</v>
      </c>
      <c r="D64" s="26">
        <v>392355</v>
      </c>
      <c r="E64" s="27">
        <v>8.59</v>
      </c>
      <c r="F64" s="87">
        <v>30270</v>
      </c>
      <c r="G64" s="32">
        <f t="shared" si="0"/>
        <v>1125</v>
      </c>
      <c r="H64" s="33">
        <f t="shared" si="1"/>
        <v>0.2867301296020186</v>
      </c>
      <c r="I64" s="20"/>
      <c r="J64" s="25" t="s">
        <v>560</v>
      </c>
      <c r="K64" s="33">
        <v>0.2867301296020186</v>
      </c>
      <c r="L64" s="22" t="s">
        <v>13</v>
      </c>
    </row>
    <row r="65" spans="2:12" x14ac:dyDescent="0.25">
      <c r="B65" s="26">
        <v>123</v>
      </c>
      <c r="C65" s="26">
        <v>155</v>
      </c>
      <c r="D65" s="26">
        <v>119934</v>
      </c>
      <c r="E65" s="27">
        <v>3.5</v>
      </c>
      <c r="F65" s="87">
        <v>5442</v>
      </c>
      <c r="G65" s="32">
        <f t="shared" si="0"/>
        <v>-32</v>
      </c>
      <c r="H65" s="33">
        <f t="shared" si="1"/>
        <v>-2.6681341404439108E-2</v>
      </c>
      <c r="I65" s="20"/>
      <c r="J65" s="25" t="s">
        <v>560</v>
      </c>
      <c r="K65" s="33">
        <v>-2.6681341404439108E-2</v>
      </c>
      <c r="L65" s="22" t="s">
        <v>24</v>
      </c>
    </row>
    <row r="66" spans="2:12" x14ac:dyDescent="0.25">
      <c r="B66" s="26">
        <v>817</v>
      </c>
      <c r="C66" s="26">
        <v>151</v>
      </c>
      <c r="D66" s="26">
        <v>422625</v>
      </c>
      <c r="E66" s="27">
        <v>2.36</v>
      </c>
      <c r="F66" s="87">
        <v>1083</v>
      </c>
      <c r="G66" s="32">
        <f t="shared" si="0"/>
        <v>666</v>
      </c>
      <c r="H66" s="33">
        <f t="shared" si="1"/>
        <v>0.15758651286601597</v>
      </c>
      <c r="I66" s="20"/>
      <c r="J66" s="25" t="s">
        <v>561</v>
      </c>
      <c r="K66" s="33">
        <v>0.15758651286601597</v>
      </c>
      <c r="L66" s="22" t="s">
        <v>30</v>
      </c>
    </row>
    <row r="67" spans="2:12" x14ac:dyDescent="0.25">
      <c r="B67" s="26">
        <v>198</v>
      </c>
      <c r="C67" s="26">
        <v>217</v>
      </c>
      <c r="D67" s="26">
        <v>239753</v>
      </c>
      <c r="E67" s="27">
        <v>7.36</v>
      </c>
      <c r="F67" s="87">
        <v>11901</v>
      </c>
      <c r="G67" s="32">
        <f t="shared" ref="G67:G130" si="2">B67-C67</f>
        <v>-19</v>
      </c>
      <c r="H67" s="33">
        <f t="shared" ref="H67:H130" si="3">G67/D67*100</f>
        <v>-7.924822629956663E-3</v>
      </c>
      <c r="I67" s="20"/>
      <c r="J67" s="25" t="s">
        <v>561</v>
      </c>
      <c r="K67" s="33">
        <v>-7.924822629956663E-3</v>
      </c>
      <c r="L67" s="22" t="s">
        <v>40</v>
      </c>
    </row>
    <row r="68" spans="2:12" x14ac:dyDescent="0.25">
      <c r="B68" s="26">
        <v>1911</v>
      </c>
      <c r="C68" s="26">
        <v>231</v>
      </c>
      <c r="D68" s="26">
        <v>268516</v>
      </c>
      <c r="E68" s="27">
        <v>8.5500000000000007</v>
      </c>
      <c r="F68" s="87">
        <v>24018</v>
      </c>
      <c r="G68" s="32">
        <f t="shared" si="2"/>
        <v>1680</v>
      </c>
      <c r="H68" s="33">
        <f t="shared" si="3"/>
        <v>0.62566104068286432</v>
      </c>
      <c r="I68" s="20"/>
      <c r="J68" s="25" t="s">
        <v>561</v>
      </c>
      <c r="K68" s="33">
        <v>0.62566104068286432</v>
      </c>
      <c r="L68" s="22" t="s">
        <v>13</v>
      </c>
    </row>
    <row r="69" spans="2:12" x14ac:dyDescent="0.25">
      <c r="B69" s="26">
        <v>1218</v>
      </c>
      <c r="C69" s="26">
        <v>212</v>
      </c>
      <c r="D69" s="26">
        <v>63177</v>
      </c>
      <c r="E69" s="27">
        <v>8.1300000000000008</v>
      </c>
      <c r="F69" s="87">
        <v>38883</v>
      </c>
      <c r="G69" s="32">
        <f t="shared" si="2"/>
        <v>1006</v>
      </c>
      <c r="H69" s="33">
        <f t="shared" si="3"/>
        <v>1.592351646960128</v>
      </c>
      <c r="I69" s="20"/>
      <c r="J69" s="25" t="s">
        <v>561</v>
      </c>
      <c r="K69" s="33">
        <v>1.592351646960128</v>
      </c>
      <c r="L69" s="22" t="s">
        <v>24</v>
      </c>
    </row>
    <row r="70" spans="2:12" x14ac:dyDescent="0.25">
      <c r="B70" s="26">
        <v>1433</v>
      </c>
      <c r="C70" s="26">
        <v>408</v>
      </c>
      <c r="D70" s="26">
        <v>370269</v>
      </c>
      <c r="E70" s="27">
        <v>3.3</v>
      </c>
      <c r="F70" s="87">
        <v>30575</v>
      </c>
      <c r="G70" s="32">
        <f t="shared" si="2"/>
        <v>1025</v>
      </c>
      <c r="H70" s="33">
        <f t="shared" si="3"/>
        <v>0.27682576721248608</v>
      </c>
      <c r="I70" s="20"/>
      <c r="J70" s="25" t="s">
        <v>562</v>
      </c>
      <c r="K70" s="33">
        <v>0.27682576721248608</v>
      </c>
      <c r="L70" s="22" t="s">
        <v>30</v>
      </c>
    </row>
    <row r="71" spans="2:12" x14ac:dyDescent="0.25">
      <c r="B71" s="26">
        <v>250</v>
      </c>
      <c r="C71" s="26">
        <v>429</v>
      </c>
      <c r="D71" s="26">
        <v>453423</v>
      </c>
      <c r="E71" s="27">
        <v>1.77</v>
      </c>
      <c r="F71" s="87">
        <v>2315</v>
      </c>
      <c r="G71" s="32">
        <f t="shared" si="2"/>
        <v>-179</v>
      </c>
      <c r="H71" s="33">
        <f t="shared" si="3"/>
        <v>-3.9477485703195474E-2</v>
      </c>
      <c r="I71" s="20"/>
      <c r="J71" s="25" t="s">
        <v>562</v>
      </c>
      <c r="K71" s="33">
        <v>-3.9477485703195474E-2</v>
      </c>
      <c r="L71" s="22" t="s">
        <v>40</v>
      </c>
    </row>
    <row r="72" spans="2:12" x14ac:dyDescent="0.25">
      <c r="B72" s="26">
        <v>752</v>
      </c>
      <c r="C72" s="26">
        <v>153</v>
      </c>
      <c r="D72" s="26">
        <v>64906</v>
      </c>
      <c r="E72" s="27">
        <v>2.09</v>
      </c>
      <c r="F72" s="87">
        <v>12148</v>
      </c>
      <c r="G72" s="32">
        <f t="shared" si="2"/>
        <v>599</v>
      </c>
      <c r="H72" s="33">
        <f t="shared" si="3"/>
        <v>0.92287307798970819</v>
      </c>
      <c r="I72" s="20"/>
      <c r="J72" s="25" t="s">
        <v>562</v>
      </c>
      <c r="K72" s="33">
        <v>0.92287307798970819</v>
      </c>
      <c r="L72" s="22" t="s">
        <v>13</v>
      </c>
    </row>
    <row r="73" spans="2:12" x14ac:dyDescent="0.25">
      <c r="B73" s="26">
        <v>1918</v>
      </c>
      <c r="C73" s="26">
        <v>212</v>
      </c>
      <c r="D73" s="26">
        <v>94360</v>
      </c>
      <c r="E73" s="27">
        <v>7.36</v>
      </c>
      <c r="F73" s="87">
        <v>36851</v>
      </c>
      <c r="G73" s="32">
        <f t="shared" si="2"/>
        <v>1706</v>
      </c>
      <c r="H73" s="33">
        <f t="shared" si="3"/>
        <v>1.8079694785926241</v>
      </c>
      <c r="I73" s="20"/>
      <c r="J73" s="25" t="s">
        <v>562</v>
      </c>
      <c r="K73" s="33">
        <v>1.8079694785926241</v>
      </c>
      <c r="L73" s="22" t="s">
        <v>24</v>
      </c>
    </row>
    <row r="74" spans="2:12" x14ac:dyDescent="0.25">
      <c r="B74" s="39">
        <v>1939</v>
      </c>
      <c r="C74" s="39">
        <v>67</v>
      </c>
      <c r="D74" s="39">
        <v>187183</v>
      </c>
      <c r="E74" s="40">
        <v>6.25</v>
      </c>
      <c r="F74" s="88">
        <v>41215</v>
      </c>
      <c r="G74" s="41">
        <f t="shared" si="2"/>
        <v>1872</v>
      </c>
      <c r="H74" s="42">
        <f t="shared" si="3"/>
        <v>1.000090820213374</v>
      </c>
      <c r="I74" s="20" t="s">
        <v>627</v>
      </c>
      <c r="J74" s="37" t="s">
        <v>563</v>
      </c>
      <c r="K74" s="33">
        <v>1.000090820213374</v>
      </c>
      <c r="L74" s="38" t="s">
        <v>30</v>
      </c>
    </row>
    <row r="75" spans="2:12" x14ac:dyDescent="0.25">
      <c r="B75" s="39">
        <v>1929</v>
      </c>
      <c r="C75" s="39">
        <v>267</v>
      </c>
      <c r="D75" s="39">
        <v>379363</v>
      </c>
      <c r="E75" s="40">
        <v>1.75</v>
      </c>
      <c r="F75" s="88">
        <v>43836</v>
      </c>
      <c r="G75" s="41">
        <f t="shared" si="2"/>
        <v>1662</v>
      </c>
      <c r="H75" s="42">
        <f t="shared" si="3"/>
        <v>0.43810281972675247</v>
      </c>
      <c r="I75" s="20" t="s">
        <v>627</v>
      </c>
      <c r="J75" s="37" t="s">
        <v>563</v>
      </c>
      <c r="K75" s="33">
        <v>0.43810281972675247</v>
      </c>
      <c r="L75" s="38" t="s">
        <v>40</v>
      </c>
    </row>
    <row r="76" spans="2:12" x14ac:dyDescent="0.25">
      <c r="B76" s="39">
        <v>437</v>
      </c>
      <c r="C76" s="39">
        <v>330</v>
      </c>
      <c r="D76" s="39">
        <v>476486</v>
      </c>
      <c r="E76" s="40">
        <v>4.97</v>
      </c>
      <c r="F76" s="88">
        <v>4509</v>
      </c>
      <c r="G76" s="41">
        <f t="shared" si="2"/>
        <v>107</v>
      </c>
      <c r="H76" s="42">
        <f t="shared" si="3"/>
        <v>2.2456063766826309E-2</v>
      </c>
      <c r="I76" s="20" t="s">
        <v>627</v>
      </c>
      <c r="J76" s="37" t="s">
        <v>563</v>
      </c>
      <c r="K76" s="33">
        <v>2.2456063766826309E-2</v>
      </c>
      <c r="L76" s="38" t="s">
        <v>13</v>
      </c>
    </row>
    <row r="77" spans="2:12" x14ac:dyDescent="0.25">
      <c r="B77" s="39">
        <v>307</v>
      </c>
      <c r="C77" s="39">
        <v>189</v>
      </c>
      <c r="D77" s="39">
        <v>117767</v>
      </c>
      <c r="E77" s="40">
        <v>9.3000000000000007</v>
      </c>
      <c r="F77" s="88">
        <v>27822</v>
      </c>
      <c r="G77" s="41">
        <f t="shared" si="2"/>
        <v>118</v>
      </c>
      <c r="H77" s="42">
        <f t="shared" si="3"/>
        <v>0.10019784829366461</v>
      </c>
      <c r="I77" s="20" t="s">
        <v>627</v>
      </c>
      <c r="J77" s="37" t="s">
        <v>563</v>
      </c>
      <c r="K77" s="33">
        <v>0.10019784829366461</v>
      </c>
      <c r="L77" s="38" t="s">
        <v>24</v>
      </c>
    </row>
    <row r="78" spans="2:12" x14ac:dyDescent="0.25">
      <c r="B78" s="39">
        <v>1527</v>
      </c>
      <c r="C78" s="39">
        <v>303</v>
      </c>
      <c r="D78" s="39">
        <v>388555</v>
      </c>
      <c r="E78" s="40">
        <v>8.9</v>
      </c>
      <c r="F78" s="88">
        <v>36397</v>
      </c>
      <c r="G78" s="41">
        <f t="shared" si="2"/>
        <v>1224</v>
      </c>
      <c r="H78" s="42">
        <f t="shared" si="3"/>
        <v>0.31501331857780751</v>
      </c>
      <c r="I78" s="20" t="s">
        <v>627</v>
      </c>
      <c r="J78" s="37" t="s">
        <v>564</v>
      </c>
      <c r="K78" s="33">
        <v>0.31501331857780751</v>
      </c>
      <c r="L78" s="38" t="s">
        <v>30</v>
      </c>
    </row>
    <row r="79" spans="2:12" x14ac:dyDescent="0.25">
      <c r="B79" s="39">
        <v>643</v>
      </c>
      <c r="C79" s="39">
        <v>358</v>
      </c>
      <c r="D79" s="39">
        <v>157599</v>
      </c>
      <c r="E79" s="40">
        <v>3.88</v>
      </c>
      <c r="F79" s="88">
        <v>7285</v>
      </c>
      <c r="G79" s="41">
        <f t="shared" si="2"/>
        <v>285</v>
      </c>
      <c r="H79" s="42">
        <f t="shared" si="3"/>
        <v>0.18083871090552606</v>
      </c>
      <c r="I79" s="20" t="s">
        <v>627</v>
      </c>
      <c r="J79" s="37" t="s">
        <v>564</v>
      </c>
      <c r="K79" s="33">
        <v>0.18083871090552606</v>
      </c>
      <c r="L79" s="38" t="s">
        <v>40</v>
      </c>
    </row>
    <row r="80" spans="2:12" x14ac:dyDescent="0.25">
      <c r="B80" s="39">
        <v>201</v>
      </c>
      <c r="C80" s="39">
        <v>221</v>
      </c>
      <c r="D80" s="39">
        <v>309772</v>
      </c>
      <c r="E80" s="40">
        <v>5.9</v>
      </c>
      <c r="F80" s="88">
        <v>33174</v>
      </c>
      <c r="G80" s="41">
        <f t="shared" si="2"/>
        <v>-20</v>
      </c>
      <c r="H80" s="42">
        <f t="shared" si="3"/>
        <v>-6.4563614529395824E-3</v>
      </c>
      <c r="I80" s="20" t="s">
        <v>627</v>
      </c>
      <c r="J80" s="37" t="s">
        <v>564</v>
      </c>
      <c r="K80" s="33">
        <v>-6.4563614529395824E-3</v>
      </c>
      <c r="L80" s="38" t="s">
        <v>13</v>
      </c>
    </row>
    <row r="81" spans="2:12" x14ac:dyDescent="0.25">
      <c r="B81" s="39">
        <v>414</v>
      </c>
      <c r="C81" s="39">
        <v>47</v>
      </c>
      <c r="D81" s="39">
        <v>199178</v>
      </c>
      <c r="E81" s="40">
        <v>1.53</v>
      </c>
      <c r="F81" s="88">
        <v>6742</v>
      </c>
      <c r="G81" s="41">
        <f t="shared" si="2"/>
        <v>367</v>
      </c>
      <c r="H81" s="42">
        <f t="shared" si="3"/>
        <v>0.18425729749269498</v>
      </c>
      <c r="I81" s="20" t="s">
        <v>627</v>
      </c>
      <c r="J81" s="37" t="s">
        <v>564</v>
      </c>
      <c r="K81" s="33">
        <v>0.18425729749269498</v>
      </c>
      <c r="L81" s="38" t="s">
        <v>24</v>
      </c>
    </row>
    <row r="82" spans="2:12" x14ac:dyDescent="0.25">
      <c r="B82" s="39">
        <v>703</v>
      </c>
      <c r="C82" s="39">
        <v>441</v>
      </c>
      <c r="D82" s="39">
        <v>357089</v>
      </c>
      <c r="E82" s="40">
        <v>6.5</v>
      </c>
      <c r="F82" s="88">
        <v>32478</v>
      </c>
      <c r="G82" s="41">
        <f t="shared" si="2"/>
        <v>262</v>
      </c>
      <c r="H82" s="42">
        <f t="shared" si="3"/>
        <v>7.3371064356504964E-2</v>
      </c>
      <c r="I82" s="20" t="s">
        <v>627</v>
      </c>
      <c r="J82" s="37" t="s">
        <v>163</v>
      </c>
      <c r="K82" s="33">
        <v>7.3371064356504964E-2</v>
      </c>
      <c r="L82" s="38" t="s">
        <v>30</v>
      </c>
    </row>
    <row r="83" spans="2:12" x14ac:dyDescent="0.25">
      <c r="B83" s="39">
        <v>508</v>
      </c>
      <c r="C83" s="39">
        <v>69</v>
      </c>
      <c r="D83" s="39">
        <v>23492</v>
      </c>
      <c r="E83" s="40">
        <v>3.16</v>
      </c>
      <c r="F83" s="88">
        <v>42824</v>
      </c>
      <c r="G83" s="41">
        <f t="shared" si="2"/>
        <v>439</v>
      </c>
      <c r="H83" s="42">
        <f t="shared" si="3"/>
        <v>1.8687212668142346</v>
      </c>
      <c r="I83" s="20" t="s">
        <v>627</v>
      </c>
      <c r="J83" s="37" t="s">
        <v>163</v>
      </c>
      <c r="K83" s="33">
        <v>1.8687212668142346</v>
      </c>
      <c r="L83" s="38" t="s">
        <v>40</v>
      </c>
    </row>
    <row r="84" spans="2:12" x14ac:dyDescent="0.25">
      <c r="B84" s="39">
        <v>697</v>
      </c>
      <c r="C84" s="39">
        <v>61</v>
      </c>
      <c r="D84" s="39">
        <v>258287</v>
      </c>
      <c r="E84" s="40">
        <v>8.25</v>
      </c>
      <c r="F84" s="88">
        <v>21208</v>
      </c>
      <c r="G84" s="41">
        <f t="shared" si="2"/>
        <v>636</v>
      </c>
      <c r="H84" s="42">
        <f t="shared" si="3"/>
        <v>0.24623771231227276</v>
      </c>
      <c r="I84" s="20" t="s">
        <v>627</v>
      </c>
      <c r="J84" s="37" t="s">
        <v>163</v>
      </c>
      <c r="K84" s="33">
        <v>0.24623771231227276</v>
      </c>
      <c r="L84" s="38" t="s">
        <v>13</v>
      </c>
    </row>
    <row r="85" spans="2:12" x14ac:dyDescent="0.25">
      <c r="B85" s="39">
        <v>1707</v>
      </c>
      <c r="C85" s="39">
        <v>223</v>
      </c>
      <c r="D85" s="39">
        <v>256910</v>
      </c>
      <c r="E85" s="40">
        <v>5.41</v>
      </c>
      <c r="F85" s="88">
        <v>44321</v>
      </c>
      <c r="G85" s="41">
        <f t="shared" si="2"/>
        <v>1484</v>
      </c>
      <c r="H85" s="42">
        <f t="shared" si="3"/>
        <v>0.57763419096181545</v>
      </c>
      <c r="I85" s="20" t="s">
        <v>627</v>
      </c>
      <c r="J85" s="37" t="s">
        <v>163</v>
      </c>
      <c r="K85" s="33">
        <v>0.57763419096181545</v>
      </c>
      <c r="L85" s="38" t="s">
        <v>24</v>
      </c>
    </row>
    <row r="86" spans="2:12" x14ac:dyDescent="0.25">
      <c r="B86" s="39">
        <v>642</v>
      </c>
      <c r="C86" s="39">
        <v>66</v>
      </c>
      <c r="D86" s="39">
        <v>346522</v>
      </c>
      <c r="E86" s="40">
        <v>5.85</v>
      </c>
      <c r="F86" s="88">
        <v>13116</v>
      </c>
      <c r="G86" s="41">
        <f t="shared" si="2"/>
        <v>576</v>
      </c>
      <c r="H86" s="42">
        <f t="shared" si="3"/>
        <v>0.166223212379012</v>
      </c>
      <c r="I86" s="20" t="s">
        <v>627</v>
      </c>
      <c r="J86" s="37" t="s">
        <v>195</v>
      </c>
      <c r="K86" s="33">
        <v>0.166223212379012</v>
      </c>
      <c r="L86" s="38" t="s">
        <v>30</v>
      </c>
    </row>
    <row r="87" spans="2:12" x14ac:dyDescent="0.25">
      <c r="B87" s="39">
        <v>859</v>
      </c>
      <c r="C87" s="39">
        <v>473</v>
      </c>
      <c r="D87" s="39">
        <v>209987</v>
      </c>
      <c r="E87" s="40">
        <v>4.46</v>
      </c>
      <c r="F87" s="88">
        <v>30214</v>
      </c>
      <c r="G87" s="41">
        <f t="shared" si="2"/>
        <v>386</v>
      </c>
      <c r="H87" s="42">
        <f t="shared" si="3"/>
        <v>0.18382090319876945</v>
      </c>
      <c r="I87" s="20" t="s">
        <v>627</v>
      </c>
      <c r="J87" s="37" t="s">
        <v>195</v>
      </c>
      <c r="K87" s="33">
        <v>0.18382090319876945</v>
      </c>
      <c r="L87" s="38" t="s">
        <v>40</v>
      </c>
    </row>
    <row r="88" spans="2:12" x14ac:dyDescent="0.25">
      <c r="B88" s="39">
        <v>191</v>
      </c>
      <c r="C88" s="39">
        <v>154</v>
      </c>
      <c r="D88" s="39">
        <v>240550</v>
      </c>
      <c r="E88" s="40">
        <v>5.22</v>
      </c>
      <c r="F88" s="88">
        <v>15827</v>
      </c>
      <c r="G88" s="41">
        <f t="shared" si="2"/>
        <v>37</v>
      </c>
      <c r="H88" s="42">
        <f t="shared" si="3"/>
        <v>1.5381417584701726E-2</v>
      </c>
      <c r="I88" s="20" t="s">
        <v>627</v>
      </c>
      <c r="J88" s="37" t="s">
        <v>195</v>
      </c>
      <c r="K88" s="33">
        <v>1.5381417584701726E-2</v>
      </c>
      <c r="L88" s="38" t="s">
        <v>13</v>
      </c>
    </row>
    <row r="89" spans="2:12" x14ac:dyDescent="0.25">
      <c r="B89" s="39">
        <v>1814</v>
      </c>
      <c r="C89" s="39">
        <v>157</v>
      </c>
      <c r="D89" s="39">
        <v>305827</v>
      </c>
      <c r="E89" s="40">
        <v>1.99</v>
      </c>
      <c r="F89" s="88">
        <v>46643</v>
      </c>
      <c r="G89" s="41">
        <f t="shared" si="2"/>
        <v>1657</v>
      </c>
      <c r="H89" s="42">
        <f t="shared" si="3"/>
        <v>0.54180958515762179</v>
      </c>
      <c r="I89" s="20" t="s">
        <v>627</v>
      </c>
      <c r="J89" s="37" t="s">
        <v>195</v>
      </c>
      <c r="K89" s="33">
        <v>0.54180958515762179</v>
      </c>
      <c r="L89" s="38" t="s">
        <v>24</v>
      </c>
    </row>
    <row r="90" spans="2:12" x14ac:dyDescent="0.25">
      <c r="B90" s="39">
        <v>1466</v>
      </c>
      <c r="C90" s="39">
        <v>69</v>
      </c>
      <c r="D90" s="39">
        <v>54935</v>
      </c>
      <c r="E90" s="40">
        <v>6.85</v>
      </c>
      <c r="F90" s="88">
        <v>36484</v>
      </c>
      <c r="G90" s="41">
        <f t="shared" si="2"/>
        <v>1397</v>
      </c>
      <c r="H90" s="42">
        <f t="shared" si="3"/>
        <v>2.5430053699827071</v>
      </c>
      <c r="I90" s="20"/>
      <c r="J90" s="37" t="s">
        <v>275</v>
      </c>
      <c r="K90" s="33">
        <v>2.5430053699827071</v>
      </c>
      <c r="L90" s="38" t="s">
        <v>30</v>
      </c>
    </row>
    <row r="91" spans="2:12" x14ac:dyDescent="0.25">
      <c r="B91" s="39">
        <v>947</v>
      </c>
      <c r="C91" s="39">
        <v>407</v>
      </c>
      <c r="D91" s="39">
        <v>319186</v>
      </c>
      <c r="E91" s="40">
        <v>3.32</v>
      </c>
      <c r="F91" s="88">
        <v>4996</v>
      </c>
      <c r="G91" s="41">
        <f t="shared" si="2"/>
        <v>540</v>
      </c>
      <c r="H91" s="42">
        <f t="shared" si="3"/>
        <v>0.16918035252172714</v>
      </c>
      <c r="I91" s="20"/>
      <c r="J91" s="37" t="s">
        <v>275</v>
      </c>
      <c r="K91" s="33">
        <v>0.16918035252172714</v>
      </c>
      <c r="L91" s="38" t="s">
        <v>40</v>
      </c>
    </row>
    <row r="92" spans="2:12" x14ac:dyDescent="0.25">
      <c r="B92" s="39">
        <v>1821</v>
      </c>
      <c r="C92" s="39">
        <v>218</v>
      </c>
      <c r="D92" s="39">
        <v>439080</v>
      </c>
      <c r="E92" s="40">
        <v>5.68</v>
      </c>
      <c r="F92" s="88">
        <v>36095</v>
      </c>
      <c r="G92" s="41">
        <f t="shared" si="2"/>
        <v>1603</v>
      </c>
      <c r="H92" s="42">
        <f t="shared" si="3"/>
        <v>0.36508153411678962</v>
      </c>
      <c r="I92" s="20"/>
      <c r="J92" s="37" t="s">
        <v>275</v>
      </c>
      <c r="K92" s="33">
        <v>0.36508153411678962</v>
      </c>
      <c r="L92" s="38" t="s">
        <v>13</v>
      </c>
    </row>
    <row r="93" spans="2:12" x14ac:dyDescent="0.25">
      <c r="B93" s="39">
        <v>1507</v>
      </c>
      <c r="C93" s="39">
        <v>463</v>
      </c>
      <c r="D93" s="39">
        <v>258944</v>
      </c>
      <c r="E93" s="40">
        <v>6.08</v>
      </c>
      <c r="F93" s="88">
        <v>16443</v>
      </c>
      <c r="G93" s="41">
        <f t="shared" si="2"/>
        <v>1044</v>
      </c>
      <c r="H93" s="42">
        <f t="shared" si="3"/>
        <v>0.40317597627286211</v>
      </c>
      <c r="I93" s="20"/>
      <c r="J93" s="37" t="s">
        <v>275</v>
      </c>
      <c r="K93" s="33">
        <v>0.40317597627286211</v>
      </c>
      <c r="L93" s="38" t="s">
        <v>24</v>
      </c>
    </row>
    <row r="94" spans="2:12" x14ac:dyDescent="0.25">
      <c r="B94" s="39">
        <v>1075</v>
      </c>
      <c r="C94" s="39">
        <v>173</v>
      </c>
      <c r="D94" s="39">
        <v>51395</v>
      </c>
      <c r="E94" s="40">
        <v>4.66</v>
      </c>
      <c r="F94" s="88">
        <v>47812</v>
      </c>
      <c r="G94" s="41">
        <f t="shared" si="2"/>
        <v>902</v>
      </c>
      <c r="H94" s="42">
        <f t="shared" si="3"/>
        <v>1.7550345364335054</v>
      </c>
      <c r="I94" s="20"/>
      <c r="J94" s="37" t="s">
        <v>565</v>
      </c>
      <c r="K94" s="33">
        <v>1.7550345364335054</v>
      </c>
      <c r="L94" s="38" t="s">
        <v>30</v>
      </c>
    </row>
    <row r="95" spans="2:12" x14ac:dyDescent="0.25">
      <c r="B95" s="39">
        <v>171</v>
      </c>
      <c r="C95" s="39">
        <v>277</v>
      </c>
      <c r="D95" s="39">
        <v>309483</v>
      </c>
      <c r="E95" s="40">
        <v>8.6999999999999993</v>
      </c>
      <c r="F95" s="88">
        <v>38452</v>
      </c>
      <c r="G95" s="41">
        <f t="shared" si="2"/>
        <v>-106</v>
      </c>
      <c r="H95" s="42">
        <f t="shared" si="3"/>
        <v>-3.4250669665215859E-2</v>
      </c>
      <c r="I95" s="20"/>
      <c r="J95" s="37" t="s">
        <v>565</v>
      </c>
      <c r="K95" s="33">
        <v>-3.4250669665215859E-2</v>
      </c>
      <c r="L95" s="38" t="s">
        <v>40</v>
      </c>
    </row>
    <row r="96" spans="2:12" x14ac:dyDescent="0.25">
      <c r="B96" s="39">
        <v>1487</v>
      </c>
      <c r="C96" s="39">
        <v>337</v>
      </c>
      <c r="D96" s="39">
        <v>87305</v>
      </c>
      <c r="E96" s="40">
        <v>2.46</v>
      </c>
      <c r="F96" s="88">
        <v>30428</v>
      </c>
      <c r="G96" s="41">
        <f t="shared" si="2"/>
        <v>1150</v>
      </c>
      <c r="H96" s="42">
        <f t="shared" si="3"/>
        <v>1.3172212358971422</v>
      </c>
      <c r="I96" s="20"/>
      <c r="J96" s="37" t="s">
        <v>565</v>
      </c>
      <c r="K96" s="33">
        <v>1.3172212358971422</v>
      </c>
      <c r="L96" s="38" t="s">
        <v>13</v>
      </c>
    </row>
    <row r="97" spans="2:12" x14ac:dyDescent="0.25">
      <c r="B97" s="39">
        <v>454</v>
      </c>
      <c r="C97" s="39">
        <v>105</v>
      </c>
      <c r="D97" s="39">
        <v>121091</v>
      </c>
      <c r="E97" s="40">
        <v>7.97</v>
      </c>
      <c r="F97" s="88">
        <v>9269</v>
      </c>
      <c r="G97" s="41">
        <f t="shared" si="2"/>
        <v>349</v>
      </c>
      <c r="H97" s="42">
        <f t="shared" si="3"/>
        <v>0.28821299683708945</v>
      </c>
      <c r="I97" s="20"/>
      <c r="J97" s="37" t="s">
        <v>565</v>
      </c>
      <c r="K97" s="33">
        <v>0.28821299683708945</v>
      </c>
      <c r="L97" s="38" t="s">
        <v>24</v>
      </c>
    </row>
    <row r="98" spans="2:12" x14ac:dyDescent="0.25">
      <c r="B98" s="39">
        <v>187</v>
      </c>
      <c r="C98" s="39">
        <v>236</v>
      </c>
      <c r="D98" s="39">
        <v>51087</v>
      </c>
      <c r="E98" s="40">
        <v>9.41</v>
      </c>
      <c r="F98" s="88">
        <v>29533</v>
      </c>
      <c r="G98" s="41">
        <f t="shared" si="2"/>
        <v>-49</v>
      </c>
      <c r="H98" s="42">
        <f t="shared" si="3"/>
        <v>-9.5914811987394058E-2</v>
      </c>
      <c r="I98" s="20"/>
      <c r="J98" s="37" t="s">
        <v>64</v>
      </c>
      <c r="K98" s="33">
        <v>-9.5914811987394058E-2</v>
      </c>
      <c r="L98" s="38" t="s">
        <v>30</v>
      </c>
    </row>
    <row r="99" spans="2:12" x14ac:dyDescent="0.25">
      <c r="B99" s="39">
        <v>513</v>
      </c>
      <c r="C99" s="39">
        <v>441</v>
      </c>
      <c r="D99" s="39">
        <v>338847</v>
      </c>
      <c r="E99" s="40">
        <v>2.68</v>
      </c>
      <c r="F99" s="88">
        <v>39997</v>
      </c>
      <c r="G99" s="41">
        <f t="shared" si="2"/>
        <v>72</v>
      </c>
      <c r="H99" s="42">
        <f t="shared" si="3"/>
        <v>2.124852809675163E-2</v>
      </c>
      <c r="I99" s="20"/>
      <c r="J99" s="37" t="s">
        <v>64</v>
      </c>
      <c r="K99" s="33">
        <v>2.124852809675163E-2</v>
      </c>
      <c r="L99" s="38" t="s">
        <v>40</v>
      </c>
    </row>
    <row r="100" spans="2:12" x14ac:dyDescent="0.25">
      <c r="B100" s="39">
        <v>628</v>
      </c>
      <c r="C100" s="39">
        <v>183</v>
      </c>
      <c r="D100" s="39">
        <v>487523</v>
      </c>
      <c r="E100" s="40">
        <v>7.32</v>
      </c>
      <c r="F100" s="88">
        <v>5391</v>
      </c>
      <c r="G100" s="41">
        <f t="shared" si="2"/>
        <v>445</v>
      </c>
      <c r="H100" s="42">
        <f t="shared" si="3"/>
        <v>9.1277744844858608E-2</v>
      </c>
      <c r="I100" s="20"/>
      <c r="J100" s="37" t="s">
        <v>64</v>
      </c>
      <c r="K100" s="33">
        <v>9.1277744844858608E-2</v>
      </c>
      <c r="L100" s="38" t="s">
        <v>13</v>
      </c>
    </row>
    <row r="101" spans="2:12" x14ac:dyDescent="0.25">
      <c r="B101" s="39">
        <v>278</v>
      </c>
      <c r="C101" s="39">
        <v>218</v>
      </c>
      <c r="D101" s="39">
        <v>301695</v>
      </c>
      <c r="E101" s="40">
        <v>4.68</v>
      </c>
      <c r="F101" s="88">
        <v>22373</v>
      </c>
      <c r="G101" s="41">
        <f t="shared" si="2"/>
        <v>60</v>
      </c>
      <c r="H101" s="42">
        <f t="shared" si="3"/>
        <v>1.9887634863023914E-2</v>
      </c>
      <c r="I101" s="20"/>
      <c r="J101" s="37" t="s">
        <v>64</v>
      </c>
      <c r="K101" s="33">
        <v>1.9887634863023914E-2</v>
      </c>
      <c r="L101" s="38" t="s">
        <v>24</v>
      </c>
    </row>
    <row r="102" spans="2:12" x14ac:dyDescent="0.25">
      <c r="B102" s="39">
        <v>1854</v>
      </c>
      <c r="C102" s="39">
        <v>161</v>
      </c>
      <c r="D102" s="39">
        <v>282466</v>
      </c>
      <c r="E102" s="40">
        <v>5.17</v>
      </c>
      <c r="F102" s="88">
        <v>1810</v>
      </c>
      <c r="G102" s="41">
        <f t="shared" si="2"/>
        <v>1693</v>
      </c>
      <c r="H102" s="42">
        <f t="shared" si="3"/>
        <v>0.59936417126309005</v>
      </c>
      <c r="I102" s="20"/>
      <c r="J102" s="37" t="s">
        <v>125</v>
      </c>
      <c r="K102" s="33">
        <v>0.59936417126309005</v>
      </c>
      <c r="L102" s="38" t="s">
        <v>30</v>
      </c>
    </row>
    <row r="103" spans="2:12" x14ac:dyDescent="0.25">
      <c r="B103" s="39">
        <v>1710</v>
      </c>
      <c r="C103" s="39">
        <v>378</v>
      </c>
      <c r="D103" s="39">
        <v>336661</v>
      </c>
      <c r="E103" s="40">
        <v>6.2</v>
      </c>
      <c r="F103" s="88">
        <v>28498</v>
      </c>
      <c r="G103" s="41">
        <f t="shared" si="2"/>
        <v>1332</v>
      </c>
      <c r="H103" s="42">
        <f t="shared" si="3"/>
        <v>0.39565022381564841</v>
      </c>
      <c r="I103" s="20"/>
      <c r="J103" s="37" t="s">
        <v>125</v>
      </c>
      <c r="K103" s="33">
        <v>0.39565022381564841</v>
      </c>
      <c r="L103" s="38" t="s">
        <v>40</v>
      </c>
    </row>
    <row r="104" spans="2:12" x14ac:dyDescent="0.25">
      <c r="B104" s="39">
        <v>330</v>
      </c>
      <c r="C104" s="39">
        <v>232</v>
      </c>
      <c r="D104" s="39">
        <v>88455</v>
      </c>
      <c r="E104" s="40">
        <v>2.69</v>
      </c>
      <c r="F104" s="88">
        <v>39530</v>
      </c>
      <c r="G104" s="41">
        <f t="shared" si="2"/>
        <v>98</v>
      </c>
      <c r="H104" s="42">
        <f t="shared" si="3"/>
        <v>0.11079079758069074</v>
      </c>
      <c r="I104" s="20"/>
      <c r="J104" s="37" t="s">
        <v>125</v>
      </c>
      <c r="K104" s="33">
        <v>0.11079079758069074</v>
      </c>
      <c r="L104" s="38" t="s">
        <v>13</v>
      </c>
    </row>
    <row r="105" spans="2:12" x14ac:dyDescent="0.25">
      <c r="B105" s="39">
        <v>1293</v>
      </c>
      <c r="C105" s="39">
        <v>408</v>
      </c>
      <c r="D105" s="39">
        <v>62535</v>
      </c>
      <c r="E105" s="40">
        <v>8.9</v>
      </c>
      <c r="F105" s="88">
        <v>37876</v>
      </c>
      <c r="G105" s="41">
        <f t="shared" si="2"/>
        <v>885</v>
      </c>
      <c r="H105" s="42">
        <f t="shared" si="3"/>
        <v>1.4152074838090669</v>
      </c>
      <c r="I105" s="20"/>
      <c r="J105" s="37" t="s">
        <v>125</v>
      </c>
      <c r="K105" s="33">
        <v>1.4152074838090669</v>
      </c>
      <c r="L105" s="38" t="s">
        <v>24</v>
      </c>
    </row>
    <row r="106" spans="2:12" x14ac:dyDescent="0.25">
      <c r="B106" s="39">
        <v>1696</v>
      </c>
      <c r="C106" s="39">
        <v>71</v>
      </c>
      <c r="D106" s="39">
        <v>421957</v>
      </c>
      <c r="E106" s="40">
        <v>3.79</v>
      </c>
      <c r="F106" s="88">
        <v>36103</v>
      </c>
      <c r="G106" s="41">
        <f t="shared" si="2"/>
        <v>1625</v>
      </c>
      <c r="H106" s="42">
        <f t="shared" si="3"/>
        <v>0.38511033114748661</v>
      </c>
      <c r="I106" s="20"/>
      <c r="J106" s="37" t="s">
        <v>566</v>
      </c>
      <c r="K106" s="33">
        <v>0.38511033114748661</v>
      </c>
      <c r="L106" s="38" t="s">
        <v>30</v>
      </c>
    </row>
    <row r="107" spans="2:12" x14ac:dyDescent="0.25">
      <c r="B107" s="39">
        <v>1902</v>
      </c>
      <c r="C107" s="39">
        <v>196</v>
      </c>
      <c r="D107" s="39">
        <v>470269</v>
      </c>
      <c r="E107" s="40">
        <v>4.79</v>
      </c>
      <c r="F107" s="88">
        <v>26103</v>
      </c>
      <c r="G107" s="41">
        <f t="shared" si="2"/>
        <v>1706</v>
      </c>
      <c r="H107" s="42">
        <f t="shared" si="3"/>
        <v>0.36277109484146308</v>
      </c>
      <c r="I107" s="20"/>
      <c r="J107" s="37" t="s">
        <v>566</v>
      </c>
      <c r="K107" s="33">
        <v>0.36277109484146308</v>
      </c>
      <c r="L107" s="38" t="s">
        <v>40</v>
      </c>
    </row>
    <row r="108" spans="2:12" x14ac:dyDescent="0.25">
      <c r="B108" s="39">
        <v>1441</v>
      </c>
      <c r="C108" s="39">
        <v>268</v>
      </c>
      <c r="D108" s="39">
        <v>309904</v>
      </c>
      <c r="E108" s="40">
        <v>6.37</v>
      </c>
      <c r="F108" s="88">
        <v>3455</v>
      </c>
      <c r="G108" s="41">
        <f t="shared" si="2"/>
        <v>1173</v>
      </c>
      <c r="H108" s="42">
        <f t="shared" si="3"/>
        <v>0.37850431101244258</v>
      </c>
      <c r="I108" s="20"/>
      <c r="J108" s="37" t="s">
        <v>566</v>
      </c>
      <c r="K108" s="33">
        <v>0.37850431101244258</v>
      </c>
      <c r="L108" s="38" t="s">
        <v>13</v>
      </c>
    </row>
    <row r="109" spans="2:12" x14ac:dyDescent="0.25">
      <c r="B109" s="39">
        <v>452</v>
      </c>
      <c r="C109" s="39">
        <v>161</v>
      </c>
      <c r="D109" s="39">
        <v>221274</v>
      </c>
      <c r="E109" s="40">
        <v>2.65</v>
      </c>
      <c r="F109" s="88">
        <v>40888</v>
      </c>
      <c r="G109" s="41">
        <f t="shared" si="2"/>
        <v>291</v>
      </c>
      <c r="H109" s="42">
        <f t="shared" si="3"/>
        <v>0.13151115811166245</v>
      </c>
      <c r="I109" s="20"/>
      <c r="J109" s="37" t="s">
        <v>566</v>
      </c>
      <c r="K109" s="33">
        <v>0.13151115811166245</v>
      </c>
      <c r="L109" s="38" t="s">
        <v>24</v>
      </c>
    </row>
    <row r="110" spans="2:12" x14ac:dyDescent="0.25">
      <c r="B110" s="39">
        <v>1494</v>
      </c>
      <c r="C110" s="39">
        <v>375</v>
      </c>
      <c r="D110" s="39">
        <v>220616</v>
      </c>
      <c r="E110" s="40">
        <v>1.81</v>
      </c>
      <c r="F110" s="88">
        <v>22724</v>
      </c>
      <c r="G110" s="41">
        <f t="shared" si="2"/>
        <v>1119</v>
      </c>
      <c r="H110" s="42">
        <f t="shared" si="3"/>
        <v>0.5072161583928636</v>
      </c>
      <c r="I110" s="20"/>
      <c r="J110" s="37" t="s">
        <v>214</v>
      </c>
      <c r="K110" s="33">
        <v>0.5072161583928636</v>
      </c>
      <c r="L110" s="38" t="s">
        <v>30</v>
      </c>
    </row>
    <row r="111" spans="2:12" x14ac:dyDescent="0.25">
      <c r="B111" s="39">
        <v>1514</v>
      </c>
      <c r="C111" s="39">
        <v>141</v>
      </c>
      <c r="D111" s="39">
        <v>35842</v>
      </c>
      <c r="E111" s="40">
        <v>7.47</v>
      </c>
      <c r="F111" s="88">
        <v>18601</v>
      </c>
      <c r="G111" s="41">
        <f t="shared" si="2"/>
        <v>1373</v>
      </c>
      <c r="H111" s="42">
        <f t="shared" si="3"/>
        <v>3.8307014117515763</v>
      </c>
      <c r="I111" s="20"/>
      <c r="J111" s="37" t="s">
        <v>214</v>
      </c>
      <c r="K111" s="33">
        <v>3.8307014117515763</v>
      </c>
      <c r="L111" s="38" t="s">
        <v>40</v>
      </c>
    </row>
    <row r="112" spans="2:12" x14ac:dyDescent="0.25">
      <c r="B112" s="39">
        <v>1937</v>
      </c>
      <c r="C112" s="39">
        <v>210</v>
      </c>
      <c r="D112" s="39">
        <v>20607</v>
      </c>
      <c r="E112" s="40">
        <v>4.2</v>
      </c>
      <c r="F112" s="88">
        <v>20861</v>
      </c>
      <c r="G112" s="41">
        <f t="shared" si="2"/>
        <v>1727</v>
      </c>
      <c r="H112" s="42">
        <f t="shared" si="3"/>
        <v>8.3806473528412688</v>
      </c>
      <c r="I112" s="20"/>
      <c r="J112" s="37" t="s">
        <v>214</v>
      </c>
      <c r="K112" s="33">
        <v>8.3806473528412688</v>
      </c>
      <c r="L112" s="38" t="s">
        <v>13</v>
      </c>
    </row>
    <row r="113" spans="2:12" x14ac:dyDescent="0.25">
      <c r="B113" s="39">
        <v>736</v>
      </c>
      <c r="C113" s="39">
        <v>163</v>
      </c>
      <c r="D113" s="39">
        <v>451894</v>
      </c>
      <c r="E113" s="40">
        <v>5.43</v>
      </c>
      <c r="F113" s="88">
        <v>46625</v>
      </c>
      <c r="G113" s="41">
        <f t="shared" si="2"/>
        <v>573</v>
      </c>
      <c r="H113" s="42">
        <f t="shared" si="3"/>
        <v>0.12679964770499277</v>
      </c>
      <c r="I113" s="20"/>
      <c r="J113" s="37" t="s">
        <v>214</v>
      </c>
      <c r="K113" s="33">
        <v>0.12679964770499277</v>
      </c>
      <c r="L113" s="38" t="s">
        <v>24</v>
      </c>
    </row>
    <row r="114" spans="2:12" x14ac:dyDescent="0.25">
      <c r="B114" s="39">
        <v>1502</v>
      </c>
      <c r="C114" s="39">
        <v>70</v>
      </c>
      <c r="D114" s="39">
        <v>465553</v>
      </c>
      <c r="E114" s="40">
        <v>3.32</v>
      </c>
      <c r="F114" s="88">
        <v>20692</v>
      </c>
      <c r="G114" s="41">
        <f t="shared" si="2"/>
        <v>1432</v>
      </c>
      <c r="H114" s="42">
        <f t="shared" si="3"/>
        <v>0.30759118725472717</v>
      </c>
      <c r="I114" s="20"/>
      <c r="J114" s="37" t="s">
        <v>108</v>
      </c>
      <c r="K114" s="33">
        <v>0.30759118725472717</v>
      </c>
      <c r="L114" s="38" t="s">
        <v>30</v>
      </c>
    </row>
    <row r="115" spans="2:12" x14ac:dyDescent="0.25">
      <c r="B115" s="39">
        <v>1623</v>
      </c>
      <c r="C115" s="39">
        <v>246</v>
      </c>
      <c r="D115" s="39">
        <v>415815</v>
      </c>
      <c r="E115" s="40">
        <v>8.11</v>
      </c>
      <c r="F115" s="88">
        <v>18656</v>
      </c>
      <c r="G115" s="41">
        <f t="shared" si="2"/>
        <v>1377</v>
      </c>
      <c r="H115" s="42">
        <f t="shared" si="3"/>
        <v>0.33115688467227011</v>
      </c>
      <c r="I115" s="20"/>
      <c r="J115" s="37" t="s">
        <v>108</v>
      </c>
      <c r="K115" s="33">
        <v>0.33115688467227011</v>
      </c>
      <c r="L115" s="38" t="s">
        <v>40</v>
      </c>
    </row>
    <row r="116" spans="2:12" x14ac:dyDescent="0.25">
      <c r="B116" s="39">
        <v>1592</v>
      </c>
      <c r="C116" s="39">
        <v>233</v>
      </c>
      <c r="D116" s="39">
        <v>327183</v>
      </c>
      <c r="E116" s="40">
        <v>6.66</v>
      </c>
      <c r="F116" s="88">
        <v>13316</v>
      </c>
      <c r="G116" s="41">
        <f t="shared" si="2"/>
        <v>1359</v>
      </c>
      <c r="H116" s="42">
        <f t="shared" si="3"/>
        <v>0.41536387893013998</v>
      </c>
      <c r="I116" s="20"/>
      <c r="J116" s="37" t="s">
        <v>108</v>
      </c>
      <c r="K116" s="33">
        <v>0.41536387893013998</v>
      </c>
      <c r="L116" s="38" t="s">
        <v>13</v>
      </c>
    </row>
    <row r="117" spans="2:12" x14ac:dyDescent="0.25">
      <c r="B117" s="39">
        <v>1004</v>
      </c>
      <c r="C117" s="39">
        <v>128</v>
      </c>
      <c r="D117" s="39">
        <v>488901</v>
      </c>
      <c r="E117" s="40">
        <v>8.09</v>
      </c>
      <c r="F117" s="88">
        <v>49558</v>
      </c>
      <c r="G117" s="41">
        <f t="shared" si="2"/>
        <v>876</v>
      </c>
      <c r="H117" s="42">
        <f t="shared" si="3"/>
        <v>0.17917737946946316</v>
      </c>
      <c r="I117" s="20"/>
      <c r="J117" s="37" t="s">
        <v>108</v>
      </c>
      <c r="K117" s="33">
        <v>0.17917737946946316</v>
      </c>
      <c r="L117" s="38" t="s">
        <v>24</v>
      </c>
    </row>
    <row r="118" spans="2:12" x14ac:dyDescent="0.25">
      <c r="B118" s="39">
        <v>1092</v>
      </c>
      <c r="C118" s="39">
        <v>408</v>
      </c>
      <c r="D118" s="39">
        <v>280795</v>
      </c>
      <c r="E118" s="40">
        <v>8.44</v>
      </c>
      <c r="F118" s="88">
        <v>4683</v>
      </c>
      <c r="G118" s="41">
        <f t="shared" si="2"/>
        <v>684</v>
      </c>
      <c r="H118" s="42">
        <f t="shared" si="3"/>
        <v>0.24359408109118752</v>
      </c>
      <c r="I118" s="20"/>
      <c r="J118" s="37" t="s">
        <v>14</v>
      </c>
      <c r="K118" s="33">
        <v>0.24359408109118752</v>
      </c>
      <c r="L118" s="38" t="s">
        <v>30</v>
      </c>
    </row>
    <row r="119" spans="2:12" x14ac:dyDescent="0.25">
      <c r="B119" s="39">
        <v>1155</v>
      </c>
      <c r="C119" s="39">
        <v>425</v>
      </c>
      <c r="D119" s="39">
        <v>93347</v>
      </c>
      <c r="E119" s="40">
        <v>2.02</v>
      </c>
      <c r="F119" s="88">
        <v>47502</v>
      </c>
      <c r="G119" s="41">
        <f t="shared" si="2"/>
        <v>730</v>
      </c>
      <c r="H119" s="42">
        <f t="shared" si="3"/>
        <v>0.78202834584935776</v>
      </c>
      <c r="I119" s="20"/>
      <c r="J119" s="37" t="s">
        <v>14</v>
      </c>
      <c r="K119" s="33">
        <v>0.78202834584935776</v>
      </c>
      <c r="L119" s="38" t="s">
        <v>40</v>
      </c>
    </row>
    <row r="120" spans="2:12" x14ac:dyDescent="0.25">
      <c r="B120" s="39">
        <v>1137</v>
      </c>
      <c r="C120" s="39">
        <v>226</v>
      </c>
      <c r="D120" s="39">
        <v>81119</v>
      </c>
      <c r="E120" s="40">
        <v>7.74</v>
      </c>
      <c r="F120" s="88">
        <v>35359</v>
      </c>
      <c r="G120" s="41">
        <f t="shared" si="2"/>
        <v>911</v>
      </c>
      <c r="H120" s="42">
        <f t="shared" si="3"/>
        <v>1.123041457611657</v>
      </c>
      <c r="I120" s="20"/>
      <c r="J120" s="37" t="s">
        <v>14</v>
      </c>
      <c r="K120" s="33">
        <v>1.123041457611657</v>
      </c>
      <c r="L120" s="38" t="s">
        <v>13</v>
      </c>
    </row>
    <row r="121" spans="2:12" x14ac:dyDescent="0.25">
      <c r="B121" s="39">
        <v>1900</v>
      </c>
      <c r="C121" s="39">
        <v>311</v>
      </c>
      <c r="D121" s="39">
        <v>25177</v>
      </c>
      <c r="E121" s="40">
        <v>2.89</v>
      </c>
      <c r="F121" s="88">
        <v>14154</v>
      </c>
      <c r="G121" s="41">
        <f t="shared" si="2"/>
        <v>1589</v>
      </c>
      <c r="H121" s="42">
        <f t="shared" si="3"/>
        <v>6.3113158835445047</v>
      </c>
      <c r="I121" s="20"/>
      <c r="J121" s="37" t="s">
        <v>14</v>
      </c>
      <c r="K121" s="33">
        <v>6.3113158835445047</v>
      </c>
      <c r="L121" s="38" t="s">
        <v>24</v>
      </c>
    </row>
    <row r="122" spans="2:12" x14ac:dyDescent="0.25">
      <c r="B122" s="39">
        <v>1814</v>
      </c>
      <c r="C122" s="39">
        <v>49</v>
      </c>
      <c r="D122" s="39">
        <v>140804</v>
      </c>
      <c r="E122" s="40">
        <v>1.76</v>
      </c>
      <c r="F122" s="88">
        <v>4313</v>
      </c>
      <c r="G122" s="41">
        <f t="shared" si="2"/>
        <v>1765</v>
      </c>
      <c r="H122" s="42">
        <f t="shared" si="3"/>
        <v>1.2535155251271271</v>
      </c>
      <c r="I122" s="20" t="s">
        <v>629</v>
      </c>
      <c r="J122" s="37" t="s">
        <v>567</v>
      </c>
      <c r="K122" s="33">
        <v>1.2535155251271271</v>
      </c>
      <c r="L122" s="38" t="s">
        <v>30</v>
      </c>
    </row>
    <row r="123" spans="2:12" x14ac:dyDescent="0.25">
      <c r="B123" s="39">
        <v>1980</v>
      </c>
      <c r="C123" s="39">
        <v>204</v>
      </c>
      <c r="D123" s="39">
        <v>379431</v>
      </c>
      <c r="E123" s="40">
        <v>3.09</v>
      </c>
      <c r="F123" s="88">
        <v>25140</v>
      </c>
      <c r="G123" s="41">
        <f t="shared" si="2"/>
        <v>1776</v>
      </c>
      <c r="H123" s="42">
        <f t="shared" si="3"/>
        <v>0.46806929323118035</v>
      </c>
      <c r="I123" s="20" t="s">
        <v>629</v>
      </c>
      <c r="J123" s="37" t="s">
        <v>567</v>
      </c>
      <c r="K123" s="33">
        <v>0.46806929323118035</v>
      </c>
      <c r="L123" s="38" t="s">
        <v>40</v>
      </c>
    </row>
    <row r="124" spans="2:12" x14ac:dyDescent="0.25">
      <c r="B124" s="39">
        <v>1786</v>
      </c>
      <c r="C124" s="39">
        <v>257</v>
      </c>
      <c r="D124" s="39">
        <v>274831</v>
      </c>
      <c r="E124" s="40">
        <v>4.68</v>
      </c>
      <c r="F124" s="88">
        <v>9118</v>
      </c>
      <c r="G124" s="41">
        <f t="shared" si="2"/>
        <v>1529</v>
      </c>
      <c r="H124" s="42">
        <f t="shared" si="3"/>
        <v>0.55634189738421069</v>
      </c>
      <c r="I124" s="20" t="s">
        <v>629</v>
      </c>
      <c r="J124" s="37" t="s">
        <v>567</v>
      </c>
      <c r="K124" s="33">
        <v>0.55634189738421069</v>
      </c>
      <c r="L124" s="38" t="s">
        <v>13</v>
      </c>
    </row>
    <row r="125" spans="2:12" x14ac:dyDescent="0.25">
      <c r="B125" s="39">
        <v>1495</v>
      </c>
      <c r="C125" s="39">
        <v>35</v>
      </c>
      <c r="D125" s="39">
        <v>136845</v>
      </c>
      <c r="E125" s="40">
        <v>4.4800000000000004</v>
      </c>
      <c r="F125" s="88">
        <v>39931</v>
      </c>
      <c r="G125" s="41">
        <f t="shared" si="2"/>
        <v>1460</v>
      </c>
      <c r="H125" s="42">
        <f t="shared" si="3"/>
        <v>1.0669005078738718</v>
      </c>
      <c r="I125" s="20" t="s">
        <v>629</v>
      </c>
      <c r="J125" s="37" t="s">
        <v>567</v>
      </c>
      <c r="K125" s="33">
        <v>1.0669005078738718</v>
      </c>
      <c r="L125" s="38" t="s">
        <v>24</v>
      </c>
    </row>
    <row r="126" spans="2:12" x14ac:dyDescent="0.25">
      <c r="B126" s="39">
        <v>1013</v>
      </c>
      <c r="C126" s="39">
        <v>110</v>
      </c>
      <c r="D126" s="39">
        <v>466382</v>
      </c>
      <c r="E126" s="40">
        <v>5.3</v>
      </c>
      <c r="F126" s="88">
        <v>37132</v>
      </c>
      <c r="G126" s="41">
        <f t="shared" si="2"/>
        <v>903</v>
      </c>
      <c r="H126" s="42">
        <f t="shared" si="3"/>
        <v>0.19361810704529764</v>
      </c>
      <c r="I126" s="20" t="s">
        <v>629</v>
      </c>
      <c r="J126" s="37" t="s">
        <v>121</v>
      </c>
      <c r="K126" s="33">
        <v>0.19361810704529764</v>
      </c>
      <c r="L126" s="38" t="s">
        <v>30</v>
      </c>
    </row>
    <row r="127" spans="2:12" x14ac:dyDescent="0.25">
      <c r="B127" s="39">
        <v>816</v>
      </c>
      <c r="C127" s="39">
        <v>196</v>
      </c>
      <c r="D127" s="39">
        <v>95728</v>
      </c>
      <c r="E127" s="40">
        <v>8.1999999999999993</v>
      </c>
      <c r="F127" s="88">
        <v>17951</v>
      </c>
      <c r="G127" s="41">
        <f t="shared" si="2"/>
        <v>620</v>
      </c>
      <c r="H127" s="42">
        <f t="shared" si="3"/>
        <v>0.64766839378238339</v>
      </c>
      <c r="I127" s="20" t="s">
        <v>629</v>
      </c>
      <c r="J127" s="37" t="s">
        <v>121</v>
      </c>
      <c r="K127" s="33">
        <v>0.64766839378238339</v>
      </c>
      <c r="L127" s="38" t="s">
        <v>40</v>
      </c>
    </row>
    <row r="128" spans="2:12" x14ac:dyDescent="0.25">
      <c r="B128" s="39">
        <v>1633</v>
      </c>
      <c r="C128" s="39">
        <v>445</v>
      </c>
      <c r="D128" s="39">
        <v>371156</v>
      </c>
      <c r="E128" s="40">
        <v>2.2200000000000002</v>
      </c>
      <c r="F128" s="88">
        <v>2798</v>
      </c>
      <c r="G128" s="41">
        <f t="shared" si="2"/>
        <v>1188</v>
      </c>
      <c r="H128" s="42">
        <f t="shared" si="3"/>
        <v>0.32008104408927779</v>
      </c>
      <c r="I128" s="20" t="s">
        <v>629</v>
      </c>
      <c r="J128" s="37" t="s">
        <v>121</v>
      </c>
      <c r="K128" s="33">
        <v>0.32008104408927779</v>
      </c>
      <c r="L128" s="38" t="s">
        <v>13</v>
      </c>
    </row>
    <row r="129" spans="2:12" x14ac:dyDescent="0.25">
      <c r="B129" s="39">
        <v>891</v>
      </c>
      <c r="C129" s="39">
        <v>45</v>
      </c>
      <c r="D129" s="39">
        <v>95410</v>
      </c>
      <c r="E129" s="40">
        <v>8.33</v>
      </c>
      <c r="F129" s="88">
        <v>15045</v>
      </c>
      <c r="G129" s="41">
        <f t="shared" si="2"/>
        <v>846</v>
      </c>
      <c r="H129" s="42">
        <f t="shared" si="3"/>
        <v>0.88669950738916259</v>
      </c>
      <c r="I129" s="20" t="s">
        <v>629</v>
      </c>
      <c r="J129" s="37" t="s">
        <v>121</v>
      </c>
      <c r="K129" s="33">
        <v>0.88669950738916259</v>
      </c>
      <c r="L129" s="38" t="s">
        <v>24</v>
      </c>
    </row>
    <row r="130" spans="2:12" x14ac:dyDescent="0.25">
      <c r="B130" s="39">
        <v>1855</v>
      </c>
      <c r="C130" s="39">
        <v>133</v>
      </c>
      <c r="D130" s="39">
        <v>349413</v>
      </c>
      <c r="E130" s="40">
        <v>3.3</v>
      </c>
      <c r="F130" s="88">
        <v>14548</v>
      </c>
      <c r="G130" s="41">
        <f t="shared" si="2"/>
        <v>1722</v>
      </c>
      <c r="H130" s="42">
        <f t="shared" si="3"/>
        <v>0.49282654051223052</v>
      </c>
      <c r="I130" s="20"/>
      <c r="J130" s="37" t="s">
        <v>568</v>
      </c>
      <c r="K130" s="33">
        <v>0.49282654051223052</v>
      </c>
      <c r="L130" s="38" t="s">
        <v>30</v>
      </c>
    </row>
    <row r="131" spans="2:12" x14ac:dyDescent="0.25">
      <c r="B131" s="39">
        <v>651</v>
      </c>
      <c r="C131" s="39">
        <v>353</v>
      </c>
      <c r="D131" s="39">
        <v>224699</v>
      </c>
      <c r="E131" s="40">
        <v>5.61</v>
      </c>
      <c r="F131" s="88">
        <v>45708</v>
      </c>
      <c r="G131" s="41">
        <f t="shared" ref="G131:G194" si="4">B131-C131</f>
        <v>298</v>
      </c>
      <c r="H131" s="42">
        <f t="shared" ref="H131:H194" si="5">G131/D131*100</f>
        <v>0.13262186302564766</v>
      </c>
      <c r="I131" s="20"/>
      <c r="J131" s="37" t="s">
        <v>568</v>
      </c>
      <c r="K131" s="33">
        <v>0.13262186302564766</v>
      </c>
      <c r="L131" s="38" t="s">
        <v>40</v>
      </c>
    </row>
    <row r="132" spans="2:12" x14ac:dyDescent="0.25">
      <c r="B132" s="39">
        <v>118</v>
      </c>
      <c r="C132" s="39">
        <v>262</v>
      </c>
      <c r="D132" s="39">
        <v>487896</v>
      </c>
      <c r="E132" s="40">
        <v>2.56</v>
      </c>
      <c r="F132" s="88">
        <v>12350</v>
      </c>
      <c r="G132" s="41">
        <f t="shared" si="4"/>
        <v>-144</v>
      </c>
      <c r="H132" s="42">
        <f t="shared" si="5"/>
        <v>-2.9514486693885584E-2</v>
      </c>
      <c r="I132" s="20"/>
      <c r="J132" s="37" t="s">
        <v>568</v>
      </c>
      <c r="K132" s="33">
        <v>-2.9514486693885584E-2</v>
      </c>
      <c r="L132" s="38" t="s">
        <v>13</v>
      </c>
    </row>
    <row r="133" spans="2:12" x14ac:dyDescent="0.25">
      <c r="B133" s="39">
        <v>1331</v>
      </c>
      <c r="C133" s="39">
        <v>430</v>
      </c>
      <c r="D133" s="39">
        <v>14437</v>
      </c>
      <c r="E133" s="40">
        <v>3.29</v>
      </c>
      <c r="F133" s="88">
        <v>40868</v>
      </c>
      <c r="G133" s="41">
        <f t="shared" si="4"/>
        <v>901</v>
      </c>
      <c r="H133" s="42">
        <f t="shared" si="5"/>
        <v>6.2409087760615085</v>
      </c>
      <c r="I133" s="20"/>
      <c r="J133" s="37" t="s">
        <v>568</v>
      </c>
      <c r="K133" s="33">
        <v>6.2409087760615085</v>
      </c>
      <c r="L133" s="38" t="s">
        <v>24</v>
      </c>
    </row>
    <row r="134" spans="2:12" x14ac:dyDescent="0.25">
      <c r="B134" s="39">
        <v>1748</v>
      </c>
      <c r="C134" s="39">
        <v>176</v>
      </c>
      <c r="D134" s="39">
        <v>383681</v>
      </c>
      <c r="E134" s="40">
        <v>9.24</v>
      </c>
      <c r="F134" s="88">
        <v>43122</v>
      </c>
      <c r="G134" s="41">
        <f t="shared" si="4"/>
        <v>1572</v>
      </c>
      <c r="H134" s="42">
        <f t="shared" si="5"/>
        <v>0.40971536250166152</v>
      </c>
      <c r="I134" s="20"/>
      <c r="J134" s="37" t="s">
        <v>569</v>
      </c>
      <c r="K134" s="33">
        <v>0.40971536250166152</v>
      </c>
      <c r="L134" s="38" t="s">
        <v>30</v>
      </c>
    </row>
    <row r="135" spans="2:12" x14ac:dyDescent="0.25">
      <c r="B135" s="39">
        <v>663</v>
      </c>
      <c r="C135" s="39">
        <v>236</v>
      </c>
      <c r="D135" s="39">
        <v>479490</v>
      </c>
      <c r="E135" s="40">
        <v>4.51</v>
      </c>
      <c r="F135" s="88">
        <v>23853</v>
      </c>
      <c r="G135" s="41">
        <f t="shared" si="4"/>
        <v>427</v>
      </c>
      <c r="H135" s="42">
        <f t="shared" si="5"/>
        <v>8.905295209493419E-2</v>
      </c>
      <c r="I135" s="20"/>
      <c r="J135" s="37" t="s">
        <v>569</v>
      </c>
      <c r="K135" s="33">
        <v>8.905295209493419E-2</v>
      </c>
      <c r="L135" s="38" t="s">
        <v>40</v>
      </c>
    </row>
    <row r="136" spans="2:12" x14ac:dyDescent="0.25">
      <c r="B136" s="39">
        <v>1040</v>
      </c>
      <c r="C136" s="39">
        <v>149</v>
      </c>
      <c r="D136" s="39">
        <v>124404</v>
      </c>
      <c r="E136" s="40">
        <v>5.23</v>
      </c>
      <c r="F136" s="88">
        <v>45380</v>
      </c>
      <c r="G136" s="41">
        <f t="shared" si="4"/>
        <v>891</v>
      </c>
      <c r="H136" s="42">
        <f t="shared" si="5"/>
        <v>0.71621491270377158</v>
      </c>
      <c r="I136" s="20"/>
      <c r="J136" s="37" t="s">
        <v>569</v>
      </c>
      <c r="K136" s="33">
        <v>0.71621491270377158</v>
      </c>
      <c r="L136" s="38" t="s">
        <v>13</v>
      </c>
    </row>
    <row r="137" spans="2:12" x14ac:dyDescent="0.25">
      <c r="B137" s="39">
        <v>1166</v>
      </c>
      <c r="C137" s="39">
        <v>442</v>
      </c>
      <c r="D137" s="39">
        <v>336949</v>
      </c>
      <c r="E137" s="40">
        <v>4.68</v>
      </c>
      <c r="F137" s="88">
        <v>7705</v>
      </c>
      <c r="G137" s="41">
        <f t="shared" si="4"/>
        <v>724</v>
      </c>
      <c r="H137" s="42">
        <f t="shared" si="5"/>
        <v>0.2148693125665902</v>
      </c>
      <c r="I137" s="20"/>
      <c r="J137" s="37" t="s">
        <v>569</v>
      </c>
      <c r="K137" s="33">
        <v>0.2148693125665902</v>
      </c>
      <c r="L137" s="38" t="s">
        <v>24</v>
      </c>
    </row>
    <row r="138" spans="2:12" x14ac:dyDescent="0.25">
      <c r="B138" s="39">
        <v>115</v>
      </c>
      <c r="C138" s="39">
        <v>281</v>
      </c>
      <c r="D138" s="39">
        <v>357265</v>
      </c>
      <c r="E138" s="40">
        <v>9.23</v>
      </c>
      <c r="F138" s="88">
        <v>25525</v>
      </c>
      <c r="G138" s="41">
        <f t="shared" si="4"/>
        <v>-166</v>
      </c>
      <c r="H138" s="42">
        <f t="shared" si="5"/>
        <v>-4.6464109274628081E-2</v>
      </c>
      <c r="I138" s="20"/>
      <c r="J138" s="37" t="s">
        <v>217</v>
      </c>
      <c r="K138" s="33">
        <v>-4.6464109274628081E-2</v>
      </c>
      <c r="L138" s="38" t="s">
        <v>30</v>
      </c>
    </row>
    <row r="139" spans="2:12" x14ac:dyDescent="0.25">
      <c r="B139" s="39">
        <v>1249</v>
      </c>
      <c r="C139" s="39">
        <v>351</v>
      </c>
      <c r="D139" s="39">
        <v>321307</v>
      </c>
      <c r="E139" s="40">
        <v>6.37</v>
      </c>
      <c r="F139" s="88">
        <v>20560</v>
      </c>
      <c r="G139" s="41">
        <f t="shared" si="4"/>
        <v>898</v>
      </c>
      <c r="H139" s="42">
        <f t="shared" si="5"/>
        <v>0.27948348464241363</v>
      </c>
      <c r="I139" s="20"/>
      <c r="J139" s="37" t="s">
        <v>217</v>
      </c>
      <c r="K139" s="33">
        <v>0.27948348464241363</v>
      </c>
      <c r="L139" s="38" t="s">
        <v>40</v>
      </c>
    </row>
    <row r="140" spans="2:12" x14ac:dyDescent="0.25">
      <c r="B140" s="39">
        <v>1501</v>
      </c>
      <c r="C140" s="39">
        <v>75</v>
      </c>
      <c r="D140" s="39">
        <v>262569</v>
      </c>
      <c r="E140" s="40">
        <v>2.0099999999999998</v>
      </c>
      <c r="F140" s="88">
        <v>19119</v>
      </c>
      <c r="G140" s="41">
        <f t="shared" si="4"/>
        <v>1426</v>
      </c>
      <c r="H140" s="42">
        <f t="shared" si="5"/>
        <v>0.54309533874905258</v>
      </c>
      <c r="I140" s="20"/>
      <c r="J140" s="37" t="s">
        <v>217</v>
      </c>
      <c r="K140" s="33">
        <v>0.54309533874905258</v>
      </c>
      <c r="L140" s="38" t="s">
        <v>13</v>
      </c>
    </row>
    <row r="141" spans="2:12" x14ac:dyDescent="0.25">
      <c r="B141" s="39">
        <v>1411</v>
      </c>
      <c r="C141" s="39">
        <v>186</v>
      </c>
      <c r="D141" s="39">
        <v>461669</v>
      </c>
      <c r="E141" s="40">
        <v>3.72</v>
      </c>
      <c r="F141" s="88">
        <v>43999</v>
      </c>
      <c r="G141" s="41">
        <f t="shared" si="4"/>
        <v>1225</v>
      </c>
      <c r="H141" s="42">
        <f t="shared" si="5"/>
        <v>0.26534161921203286</v>
      </c>
      <c r="I141" s="20"/>
      <c r="J141" s="37" t="s">
        <v>217</v>
      </c>
      <c r="K141" s="33">
        <v>0.26534161921203286</v>
      </c>
      <c r="L141" s="38" t="s">
        <v>24</v>
      </c>
    </row>
    <row r="142" spans="2:12" x14ac:dyDescent="0.25">
      <c r="B142" s="39">
        <v>1556</v>
      </c>
      <c r="C142" s="39">
        <v>476</v>
      </c>
      <c r="D142" s="39">
        <v>351556</v>
      </c>
      <c r="E142" s="40">
        <v>3.89</v>
      </c>
      <c r="F142" s="88">
        <v>10825</v>
      </c>
      <c r="G142" s="41">
        <f t="shared" si="4"/>
        <v>1080</v>
      </c>
      <c r="H142" s="42">
        <f t="shared" si="5"/>
        <v>0.30720567989168157</v>
      </c>
      <c r="I142" s="20"/>
      <c r="J142" s="37" t="s">
        <v>570</v>
      </c>
      <c r="K142" s="33">
        <v>0.30720567989168157</v>
      </c>
      <c r="L142" s="38" t="s">
        <v>30</v>
      </c>
    </row>
    <row r="143" spans="2:12" x14ac:dyDescent="0.25">
      <c r="B143" s="39">
        <v>1159</v>
      </c>
      <c r="C143" s="39">
        <v>411</v>
      </c>
      <c r="D143" s="39">
        <v>135987</v>
      </c>
      <c r="E143" s="40">
        <v>8.6999999999999993</v>
      </c>
      <c r="F143" s="88">
        <v>40323</v>
      </c>
      <c r="G143" s="41">
        <f t="shared" si="4"/>
        <v>748</v>
      </c>
      <c r="H143" s="42">
        <f t="shared" si="5"/>
        <v>0.5500525785553031</v>
      </c>
      <c r="I143" s="20"/>
      <c r="J143" s="37" t="s">
        <v>570</v>
      </c>
      <c r="K143" s="33">
        <v>0.5500525785553031</v>
      </c>
      <c r="L143" s="38" t="s">
        <v>40</v>
      </c>
    </row>
    <row r="144" spans="2:12" x14ac:dyDescent="0.25">
      <c r="B144" s="39">
        <v>927</v>
      </c>
      <c r="C144" s="39">
        <v>358</v>
      </c>
      <c r="D144" s="39">
        <v>177554</v>
      </c>
      <c r="E144" s="40">
        <v>6.95</v>
      </c>
      <c r="F144" s="88">
        <v>48270</v>
      </c>
      <c r="G144" s="41">
        <f t="shared" si="4"/>
        <v>569</v>
      </c>
      <c r="H144" s="42">
        <f t="shared" si="5"/>
        <v>0.32046588643454949</v>
      </c>
      <c r="I144" s="20"/>
      <c r="J144" s="37" t="s">
        <v>570</v>
      </c>
      <c r="K144" s="33">
        <v>0.32046588643454949</v>
      </c>
      <c r="L144" s="38" t="s">
        <v>13</v>
      </c>
    </row>
    <row r="145" spans="2:12" x14ac:dyDescent="0.25">
      <c r="B145" s="39">
        <v>152</v>
      </c>
      <c r="C145" s="39">
        <v>355</v>
      </c>
      <c r="D145" s="39">
        <v>270766</v>
      </c>
      <c r="E145" s="40">
        <v>9.48</v>
      </c>
      <c r="F145" s="88">
        <v>18001</v>
      </c>
      <c r="G145" s="41">
        <f t="shared" si="4"/>
        <v>-203</v>
      </c>
      <c r="H145" s="42">
        <f t="shared" si="5"/>
        <v>-7.4972485467156139E-2</v>
      </c>
      <c r="I145" s="20"/>
      <c r="J145" s="37" t="s">
        <v>570</v>
      </c>
      <c r="K145" s="33">
        <v>-7.4972485467156139E-2</v>
      </c>
      <c r="L145" s="38" t="s">
        <v>24</v>
      </c>
    </row>
    <row r="146" spans="2:12" x14ac:dyDescent="0.25">
      <c r="B146" s="39">
        <v>1957</v>
      </c>
      <c r="C146" s="39">
        <v>234</v>
      </c>
      <c r="D146" s="39">
        <v>222126</v>
      </c>
      <c r="E146" s="40">
        <v>4.6100000000000003</v>
      </c>
      <c r="F146" s="88">
        <v>3314</v>
      </c>
      <c r="G146" s="41">
        <f t="shared" si="4"/>
        <v>1723</v>
      </c>
      <c r="H146" s="42">
        <f t="shared" si="5"/>
        <v>0.77568587198256844</v>
      </c>
      <c r="I146" s="20"/>
      <c r="J146" s="37" t="s">
        <v>242</v>
      </c>
      <c r="K146" s="33">
        <v>0.77568587198256844</v>
      </c>
      <c r="L146" s="38" t="s">
        <v>30</v>
      </c>
    </row>
    <row r="147" spans="2:12" x14ac:dyDescent="0.25">
      <c r="B147" s="39">
        <v>1294</v>
      </c>
      <c r="C147" s="39">
        <v>382</v>
      </c>
      <c r="D147" s="39">
        <v>309914</v>
      </c>
      <c r="E147" s="40">
        <v>8.0299999999999994</v>
      </c>
      <c r="F147" s="88">
        <v>23489</v>
      </c>
      <c r="G147" s="41">
        <f t="shared" si="4"/>
        <v>912</v>
      </c>
      <c r="H147" s="42">
        <f t="shared" si="5"/>
        <v>0.29427518601934727</v>
      </c>
      <c r="I147" s="20"/>
      <c r="J147" s="37" t="s">
        <v>242</v>
      </c>
      <c r="K147" s="33">
        <v>0.29427518601934727</v>
      </c>
      <c r="L147" s="38" t="s">
        <v>40</v>
      </c>
    </row>
    <row r="148" spans="2:12" x14ac:dyDescent="0.25">
      <c r="B148" s="39">
        <v>1587</v>
      </c>
      <c r="C148" s="39">
        <v>385</v>
      </c>
      <c r="D148" s="39">
        <v>126582</v>
      </c>
      <c r="E148" s="40">
        <v>6.99</v>
      </c>
      <c r="F148" s="88">
        <v>42832</v>
      </c>
      <c r="G148" s="41">
        <f t="shared" si="4"/>
        <v>1202</v>
      </c>
      <c r="H148" s="42">
        <f t="shared" si="5"/>
        <v>0.94958208908059605</v>
      </c>
      <c r="I148" s="20"/>
      <c r="J148" s="37" t="s">
        <v>242</v>
      </c>
      <c r="K148" s="33">
        <v>0.94958208908059605</v>
      </c>
      <c r="L148" s="38" t="s">
        <v>13</v>
      </c>
    </row>
    <row r="149" spans="2:12" x14ac:dyDescent="0.25">
      <c r="B149" s="39">
        <v>1707</v>
      </c>
      <c r="C149" s="39">
        <v>263</v>
      </c>
      <c r="D149" s="39">
        <v>485280</v>
      </c>
      <c r="E149" s="40">
        <v>9.0299999999999994</v>
      </c>
      <c r="F149" s="88">
        <v>24494</v>
      </c>
      <c r="G149" s="41">
        <f t="shared" si="4"/>
        <v>1444</v>
      </c>
      <c r="H149" s="42">
        <f t="shared" si="5"/>
        <v>0.29756017144741181</v>
      </c>
      <c r="I149" s="20"/>
      <c r="J149" s="37" t="s">
        <v>242</v>
      </c>
      <c r="K149" s="33">
        <v>0.29756017144741181</v>
      </c>
      <c r="L149" s="38" t="s">
        <v>24</v>
      </c>
    </row>
    <row r="150" spans="2:12" x14ac:dyDescent="0.25">
      <c r="B150" s="39">
        <v>1138</v>
      </c>
      <c r="C150" s="39">
        <v>173</v>
      </c>
      <c r="D150" s="39">
        <v>453243</v>
      </c>
      <c r="E150" s="40">
        <v>2.86</v>
      </c>
      <c r="F150" s="88">
        <v>44097</v>
      </c>
      <c r="G150" s="41">
        <f t="shared" si="4"/>
        <v>965</v>
      </c>
      <c r="H150" s="42">
        <f t="shared" si="5"/>
        <v>0.21291007252180397</v>
      </c>
      <c r="I150" s="20"/>
      <c r="J150" s="37" t="s">
        <v>123</v>
      </c>
      <c r="K150" s="33">
        <v>0.21291007252180397</v>
      </c>
      <c r="L150" s="38" t="s">
        <v>30</v>
      </c>
    </row>
    <row r="151" spans="2:12" x14ac:dyDescent="0.25">
      <c r="B151" s="39">
        <v>1895</v>
      </c>
      <c r="C151" s="39">
        <v>305</v>
      </c>
      <c r="D151" s="39">
        <v>104967</v>
      </c>
      <c r="E151" s="40">
        <v>3.85</v>
      </c>
      <c r="F151" s="88">
        <v>31853</v>
      </c>
      <c r="G151" s="41">
        <f t="shared" si="4"/>
        <v>1590</v>
      </c>
      <c r="H151" s="42">
        <f t="shared" si="5"/>
        <v>1.5147617822744293</v>
      </c>
      <c r="I151" s="20"/>
      <c r="J151" s="37" t="s">
        <v>123</v>
      </c>
      <c r="K151" s="33">
        <v>1.5147617822744293</v>
      </c>
      <c r="L151" s="38" t="s">
        <v>40</v>
      </c>
    </row>
    <row r="152" spans="2:12" x14ac:dyDescent="0.25">
      <c r="B152" s="39">
        <v>362</v>
      </c>
      <c r="C152" s="39">
        <v>399</v>
      </c>
      <c r="D152" s="39">
        <v>145608</v>
      </c>
      <c r="E152" s="40">
        <v>7.3</v>
      </c>
      <c r="F152" s="88">
        <v>37636</v>
      </c>
      <c r="G152" s="41">
        <f t="shared" si="4"/>
        <v>-37</v>
      </c>
      <c r="H152" s="42">
        <f t="shared" si="5"/>
        <v>-2.5410691720235155E-2</v>
      </c>
      <c r="I152" s="20"/>
      <c r="J152" s="37" t="s">
        <v>123</v>
      </c>
      <c r="K152" s="33">
        <v>-2.5410691720235155E-2</v>
      </c>
      <c r="L152" s="38" t="s">
        <v>13</v>
      </c>
    </row>
    <row r="153" spans="2:12" x14ac:dyDescent="0.25">
      <c r="B153" s="39">
        <v>1662</v>
      </c>
      <c r="C153" s="39">
        <v>487</v>
      </c>
      <c r="D153" s="39">
        <v>105980</v>
      </c>
      <c r="E153" s="40">
        <v>9.08</v>
      </c>
      <c r="F153" s="88">
        <v>22996</v>
      </c>
      <c r="G153" s="41">
        <f t="shared" si="4"/>
        <v>1175</v>
      </c>
      <c r="H153" s="42">
        <f t="shared" si="5"/>
        <v>1.1086997546706925</v>
      </c>
      <c r="I153" s="20"/>
      <c r="J153" s="37" t="s">
        <v>123</v>
      </c>
      <c r="K153" s="33">
        <v>1.1086997546706925</v>
      </c>
      <c r="L153" s="38" t="s">
        <v>24</v>
      </c>
    </row>
    <row r="154" spans="2:12" x14ac:dyDescent="0.25">
      <c r="B154" s="39">
        <v>1440</v>
      </c>
      <c r="C154" s="39">
        <v>65</v>
      </c>
      <c r="D154" s="39">
        <v>126524</v>
      </c>
      <c r="E154" s="40">
        <v>4.34</v>
      </c>
      <c r="F154" s="88">
        <v>49772</v>
      </c>
      <c r="G154" s="41">
        <f t="shared" si="4"/>
        <v>1375</v>
      </c>
      <c r="H154" s="42">
        <f t="shared" si="5"/>
        <v>1.08675033985647</v>
      </c>
      <c r="I154" s="20"/>
      <c r="J154" s="37" t="s">
        <v>143</v>
      </c>
      <c r="K154" s="33">
        <v>1.08675033985647</v>
      </c>
      <c r="L154" s="38" t="s">
        <v>30</v>
      </c>
    </row>
    <row r="155" spans="2:12" x14ac:dyDescent="0.25">
      <c r="B155" s="39">
        <v>1884</v>
      </c>
      <c r="C155" s="39">
        <v>177</v>
      </c>
      <c r="D155" s="39">
        <v>230448</v>
      </c>
      <c r="E155" s="40">
        <v>7.8</v>
      </c>
      <c r="F155" s="88">
        <v>22713</v>
      </c>
      <c r="G155" s="41">
        <f t="shared" si="4"/>
        <v>1707</v>
      </c>
      <c r="H155" s="42">
        <f t="shared" si="5"/>
        <v>0.74073109768798173</v>
      </c>
      <c r="I155" s="20"/>
      <c r="J155" s="37" t="s">
        <v>143</v>
      </c>
      <c r="K155" s="33">
        <v>0.74073109768798173</v>
      </c>
      <c r="L155" s="38" t="s">
        <v>40</v>
      </c>
    </row>
    <row r="156" spans="2:12" x14ac:dyDescent="0.25">
      <c r="B156" s="39">
        <v>861</v>
      </c>
      <c r="C156" s="39">
        <v>153</v>
      </c>
      <c r="D156" s="39">
        <v>317007</v>
      </c>
      <c r="E156" s="40">
        <v>3.85</v>
      </c>
      <c r="F156" s="88">
        <v>8718</v>
      </c>
      <c r="G156" s="41">
        <f t="shared" si="4"/>
        <v>708</v>
      </c>
      <c r="H156" s="42">
        <f t="shared" si="5"/>
        <v>0.22333891680625351</v>
      </c>
      <c r="I156" s="20"/>
      <c r="J156" s="37" t="s">
        <v>143</v>
      </c>
      <c r="K156" s="33">
        <v>0.22333891680625351</v>
      </c>
      <c r="L156" s="38" t="s">
        <v>13</v>
      </c>
    </row>
    <row r="157" spans="2:12" x14ac:dyDescent="0.25">
      <c r="B157" s="39">
        <v>1063</v>
      </c>
      <c r="C157" s="39">
        <v>47</v>
      </c>
      <c r="D157" s="39">
        <v>464239</v>
      </c>
      <c r="E157" s="40">
        <v>6.58</v>
      </c>
      <c r="F157" s="88">
        <v>39031</v>
      </c>
      <c r="G157" s="41">
        <f t="shared" si="4"/>
        <v>1016</v>
      </c>
      <c r="H157" s="42">
        <f t="shared" si="5"/>
        <v>0.21885278918832757</v>
      </c>
      <c r="I157" s="20"/>
      <c r="J157" s="37" t="s">
        <v>143</v>
      </c>
      <c r="K157" s="33">
        <v>0.21885278918832757</v>
      </c>
      <c r="L157" s="38" t="s">
        <v>24</v>
      </c>
    </row>
    <row r="158" spans="2:12" x14ac:dyDescent="0.25">
      <c r="B158" s="39">
        <v>1371</v>
      </c>
      <c r="C158" s="39">
        <v>56</v>
      </c>
      <c r="D158" s="39">
        <v>257579</v>
      </c>
      <c r="E158" s="40">
        <v>8.6199999999999992</v>
      </c>
      <c r="F158" s="88">
        <v>33799</v>
      </c>
      <c r="G158" s="41">
        <f t="shared" si="4"/>
        <v>1315</v>
      </c>
      <c r="H158" s="42">
        <f t="shared" si="5"/>
        <v>0.51052298518124528</v>
      </c>
      <c r="I158" s="20" t="s">
        <v>628</v>
      </c>
      <c r="J158" s="37" t="s">
        <v>191</v>
      </c>
      <c r="K158" s="33">
        <v>0.51052298518124528</v>
      </c>
      <c r="L158" s="38" t="s">
        <v>30</v>
      </c>
    </row>
    <row r="159" spans="2:12" x14ac:dyDescent="0.25">
      <c r="B159" s="39">
        <v>345</v>
      </c>
      <c r="C159" s="39">
        <v>464</v>
      </c>
      <c r="D159" s="39">
        <v>366881</v>
      </c>
      <c r="E159" s="40">
        <v>4.55</v>
      </c>
      <c r="F159" s="88">
        <v>20553</v>
      </c>
      <c r="G159" s="41">
        <f t="shared" si="4"/>
        <v>-119</v>
      </c>
      <c r="H159" s="42">
        <f t="shared" si="5"/>
        <v>-3.2435585380545737E-2</v>
      </c>
      <c r="I159" s="20" t="s">
        <v>628</v>
      </c>
      <c r="J159" s="37" t="s">
        <v>191</v>
      </c>
      <c r="K159" s="33">
        <v>-3.2435585380545737E-2</v>
      </c>
      <c r="L159" s="38" t="s">
        <v>40</v>
      </c>
    </row>
    <row r="160" spans="2:12" x14ac:dyDescent="0.25">
      <c r="B160" s="39">
        <v>946</v>
      </c>
      <c r="C160" s="39">
        <v>47</v>
      </c>
      <c r="D160" s="39">
        <v>466575</v>
      </c>
      <c r="E160" s="40">
        <v>8.33</v>
      </c>
      <c r="F160" s="88">
        <v>10002</v>
      </c>
      <c r="G160" s="41">
        <f t="shared" si="4"/>
        <v>899</v>
      </c>
      <c r="H160" s="42">
        <f t="shared" si="5"/>
        <v>0.19268070513850935</v>
      </c>
      <c r="I160" s="20" t="s">
        <v>628</v>
      </c>
      <c r="J160" s="37" t="s">
        <v>191</v>
      </c>
      <c r="K160" s="33">
        <v>0.19268070513850935</v>
      </c>
      <c r="L160" s="38" t="s">
        <v>13</v>
      </c>
    </row>
    <row r="161" spans="2:12" x14ac:dyDescent="0.25">
      <c r="B161" s="39">
        <v>510</v>
      </c>
      <c r="C161" s="39">
        <v>195</v>
      </c>
      <c r="D161" s="39">
        <v>224534</v>
      </c>
      <c r="E161" s="40">
        <v>9.4</v>
      </c>
      <c r="F161" s="88">
        <v>30987</v>
      </c>
      <c r="G161" s="41">
        <f t="shared" si="4"/>
        <v>315</v>
      </c>
      <c r="H161" s="42">
        <f t="shared" si="5"/>
        <v>0.14029055733207443</v>
      </c>
      <c r="I161" s="20" t="s">
        <v>628</v>
      </c>
      <c r="J161" s="37" t="s">
        <v>191</v>
      </c>
      <c r="K161" s="33">
        <v>0.14029055733207443</v>
      </c>
      <c r="L161" s="38" t="s">
        <v>24</v>
      </c>
    </row>
    <row r="162" spans="2:12" x14ac:dyDescent="0.25">
      <c r="B162" s="39">
        <v>393</v>
      </c>
      <c r="C162" s="39">
        <v>181</v>
      </c>
      <c r="D162" s="39">
        <v>462142</v>
      </c>
      <c r="E162" s="40">
        <v>7.23</v>
      </c>
      <c r="F162" s="88">
        <v>6296</v>
      </c>
      <c r="G162" s="41">
        <f t="shared" si="4"/>
        <v>212</v>
      </c>
      <c r="H162" s="42">
        <f t="shared" si="5"/>
        <v>4.5873346287504703E-2</v>
      </c>
      <c r="I162" s="20" t="s">
        <v>628</v>
      </c>
      <c r="J162" s="37" t="s">
        <v>571</v>
      </c>
      <c r="K162" s="33">
        <v>4.5873346287504703E-2</v>
      </c>
      <c r="L162" s="38" t="s">
        <v>30</v>
      </c>
    </row>
    <row r="163" spans="2:12" x14ac:dyDescent="0.25">
      <c r="B163" s="39">
        <v>1098</v>
      </c>
      <c r="C163" s="39">
        <v>190</v>
      </c>
      <c r="D163" s="39">
        <v>340842</v>
      </c>
      <c r="E163" s="40">
        <v>9.39</v>
      </c>
      <c r="F163" s="88">
        <v>21539</v>
      </c>
      <c r="G163" s="41">
        <f t="shared" si="4"/>
        <v>908</v>
      </c>
      <c r="H163" s="42">
        <f t="shared" si="5"/>
        <v>0.26639909400836753</v>
      </c>
      <c r="I163" s="20" t="s">
        <v>628</v>
      </c>
      <c r="J163" s="37" t="s">
        <v>571</v>
      </c>
      <c r="K163" s="33">
        <v>0.26639909400836753</v>
      </c>
      <c r="L163" s="38" t="s">
        <v>40</v>
      </c>
    </row>
    <row r="164" spans="2:12" x14ac:dyDescent="0.25">
      <c r="B164" s="39">
        <v>1399</v>
      </c>
      <c r="C164" s="39">
        <v>49</v>
      </c>
      <c r="D164" s="39">
        <v>12471</v>
      </c>
      <c r="E164" s="40">
        <v>5.12</v>
      </c>
      <c r="F164" s="88">
        <v>14722</v>
      </c>
      <c r="G164" s="41">
        <f t="shared" si="4"/>
        <v>1350</v>
      </c>
      <c r="H164" s="42">
        <f t="shared" si="5"/>
        <v>10.825114265095021</v>
      </c>
      <c r="I164" s="20" t="s">
        <v>628</v>
      </c>
      <c r="J164" s="37" t="s">
        <v>571</v>
      </c>
      <c r="K164" s="33">
        <v>10.825114265095021</v>
      </c>
      <c r="L164" s="38" t="s">
        <v>13</v>
      </c>
    </row>
    <row r="165" spans="2:12" x14ac:dyDescent="0.25">
      <c r="B165" s="39">
        <v>1658</v>
      </c>
      <c r="C165" s="39">
        <v>416</v>
      </c>
      <c r="D165" s="39">
        <v>98397</v>
      </c>
      <c r="E165" s="40">
        <v>6.11</v>
      </c>
      <c r="F165" s="88">
        <v>11383</v>
      </c>
      <c r="G165" s="41">
        <f t="shared" si="4"/>
        <v>1242</v>
      </c>
      <c r="H165" s="42">
        <f t="shared" si="5"/>
        <v>1.2622336046830696</v>
      </c>
      <c r="I165" s="20" t="s">
        <v>628</v>
      </c>
      <c r="J165" s="37" t="s">
        <v>571</v>
      </c>
      <c r="K165" s="33">
        <v>1.2622336046830696</v>
      </c>
      <c r="L165" s="38" t="s">
        <v>24</v>
      </c>
    </row>
    <row r="166" spans="2:12" x14ac:dyDescent="0.25">
      <c r="B166" s="39">
        <v>1102</v>
      </c>
      <c r="C166" s="39">
        <v>422</v>
      </c>
      <c r="D166" s="39">
        <v>410330</v>
      </c>
      <c r="E166" s="40">
        <v>7.74</v>
      </c>
      <c r="F166" s="88">
        <v>9480</v>
      </c>
      <c r="G166" s="41">
        <f t="shared" si="4"/>
        <v>680</v>
      </c>
      <c r="H166" s="42">
        <f t="shared" si="5"/>
        <v>0.16572027392586453</v>
      </c>
      <c r="I166" s="20" t="s">
        <v>628</v>
      </c>
      <c r="J166" s="37" t="s">
        <v>572</v>
      </c>
      <c r="K166" s="33">
        <v>0.16572027392586453</v>
      </c>
      <c r="L166" s="38" t="s">
        <v>30</v>
      </c>
    </row>
    <row r="167" spans="2:12" x14ac:dyDescent="0.25">
      <c r="B167" s="39">
        <v>1358</v>
      </c>
      <c r="C167" s="39">
        <v>242</v>
      </c>
      <c r="D167" s="39">
        <v>342129</v>
      </c>
      <c r="E167" s="40">
        <v>4.9400000000000004</v>
      </c>
      <c r="F167" s="88">
        <v>29116</v>
      </c>
      <c r="G167" s="41">
        <f t="shared" si="4"/>
        <v>1116</v>
      </c>
      <c r="H167" s="42">
        <f t="shared" si="5"/>
        <v>0.32619275185675578</v>
      </c>
      <c r="I167" s="20" t="s">
        <v>628</v>
      </c>
      <c r="J167" s="37" t="s">
        <v>572</v>
      </c>
      <c r="K167" s="33">
        <v>0.32619275185675578</v>
      </c>
      <c r="L167" s="38" t="s">
        <v>40</v>
      </c>
    </row>
    <row r="168" spans="2:12" x14ac:dyDescent="0.25">
      <c r="B168" s="39">
        <v>1077</v>
      </c>
      <c r="C168" s="39">
        <v>216</v>
      </c>
      <c r="D168" s="39">
        <v>12447</v>
      </c>
      <c r="E168" s="40">
        <v>1.8</v>
      </c>
      <c r="F168" s="88">
        <v>14068</v>
      </c>
      <c r="G168" s="41">
        <f t="shared" si="4"/>
        <v>861</v>
      </c>
      <c r="H168" s="42">
        <f t="shared" si="5"/>
        <v>6.9173294769824052</v>
      </c>
      <c r="I168" s="20" t="s">
        <v>628</v>
      </c>
      <c r="J168" s="37" t="s">
        <v>572</v>
      </c>
      <c r="K168" s="33">
        <v>6.9173294769824052</v>
      </c>
      <c r="L168" s="38" t="s">
        <v>13</v>
      </c>
    </row>
    <row r="169" spans="2:12" x14ac:dyDescent="0.25">
      <c r="B169" s="39">
        <v>1596</v>
      </c>
      <c r="C169" s="39">
        <v>211</v>
      </c>
      <c r="D169" s="39">
        <v>17380</v>
      </c>
      <c r="E169" s="40">
        <v>8.64</v>
      </c>
      <c r="F169" s="88">
        <v>35801</v>
      </c>
      <c r="G169" s="41">
        <f t="shared" si="4"/>
        <v>1385</v>
      </c>
      <c r="H169" s="42">
        <f t="shared" si="5"/>
        <v>7.9689298043728432</v>
      </c>
      <c r="I169" s="20" t="s">
        <v>628</v>
      </c>
      <c r="J169" s="37" t="s">
        <v>572</v>
      </c>
      <c r="K169" s="33">
        <v>7.9689298043728432</v>
      </c>
      <c r="L169" s="38" t="s">
        <v>24</v>
      </c>
    </row>
    <row r="170" spans="2:12" x14ac:dyDescent="0.25">
      <c r="B170" s="39">
        <v>490</v>
      </c>
      <c r="C170" s="39">
        <v>29</v>
      </c>
      <c r="D170" s="39">
        <v>364810</v>
      </c>
      <c r="E170" s="40">
        <v>1.53</v>
      </c>
      <c r="F170" s="88">
        <v>49077</v>
      </c>
      <c r="G170" s="41">
        <f t="shared" si="4"/>
        <v>461</v>
      </c>
      <c r="H170" s="42">
        <f t="shared" si="5"/>
        <v>0.12636715002329982</v>
      </c>
      <c r="I170" s="20" t="s">
        <v>628</v>
      </c>
      <c r="J170" s="37" t="s">
        <v>227</v>
      </c>
      <c r="K170" s="33">
        <v>0.12636715002329982</v>
      </c>
      <c r="L170" s="38" t="s">
        <v>30</v>
      </c>
    </row>
    <row r="171" spans="2:12" x14ac:dyDescent="0.25">
      <c r="B171" s="39">
        <v>609</v>
      </c>
      <c r="C171" s="39">
        <v>135</v>
      </c>
      <c r="D171" s="39">
        <v>373606</v>
      </c>
      <c r="E171" s="40">
        <v>8.52</v>
      </c>
      <c r="F171" s="88">
        <v>21453</v>
      </c>
      <c r="G171" s="41">
        <f t="shared" si="4"/>
        <v>474</v>
      </c>
      <c r="H171" s="42">
        <f t="shared" si="5"/>
        <v>0.1268716241173857</v>
      </c>
      <c r="I171" s="20" t="s">
        <v>628</v>
      </c>
      <c r="J171" s="37" t="s">
        <v>227</v>
      </c>
      <c r="K171" s="33">
        <v>0.1268716241173857</v>
      </c>
      <c r="L171" s="38" t="s">
        <v>40</v>
      </c>
    </row>
    <row r="172" spans="2:12" x14ac:dyDescent="0.25">
      <c r="B172" s="39">
        <v>364</v>
      </c>
      <c r="C172" s="39">
        <v>72</v>
      </c>
      <c r="D172" s="39">
        <v>211090</v>
      </c>
      <c r="E172" s="40">
        <v>5.53</v>
      </c>
      <c r="F172" s="88">
        <v>21061</v>
      </c>
      <c r="G172" s="41">
        <f t="shared" si="4"/>
        <v>292</v>
      </c>
      <c r="H172" s="42">
        <f t="shared" si="5"/>
        <v>0.13832962243592781</v>
      </c>
      <c r="I172" s="20" t="s">
        <v>628</v>
      </c>
      <c r="J172" s="37" t="s">
        <v>227</v>
      </c>
      <c r="K172" s="33">
        <v>0.13832962243592781</v>
      </c>
      <c r="L172" s="38" t="s">
        <v>13</v>
      </c>
    </row>
    <row r="173" spans="2:12" x14ac:dyDescent="0.25">
      <c r="B173" s="39">
        <v>442</v>
      </c>
      <c r="C173" s="39">
        <v>53</v>
      </c>
      <c r="D173" s="39">
        <v>441931</v>
      </c>
      <c r="E173" s="40">
        <v>1.87</v>
      </c>
      <c r="F173" s="88">
        <v>20059</v>
      </c>
      <c r="G173" s="41">
        <f t="shared" si="4"/>
        <v>389</v>
      </c>
      <c r="H173" s="42">
        <f t="shared" si="5"/>
        <v>8.8022790888170319E-2</v>
      </c>
      <c r="I173" s="20" t="s">
        <v>628</v>
      </c>
      <c r="J173" s="37" t="s">
        <v>227</v>
      </c>
      <c r="K173" s="33">
        <v>8.8022790888170319E-2</v>
      </c>
      <c r="L173" s="38" t="s">
        <v>24</v>
      </c>
    </row>
    <row r="174" spans="2:12" x14ac:dyDescent="0.25">
      <c r="B174" s="39">
        <v>1033</v>
      </c>
      <c r="C174" s="39">
        <v>392</v>
      </c>
      <c r="D174" s="39">
        <v>282780</v>
      </c>
      <c r="E174" s="40">
        <v>6.27</v>
      </c>
      <c r="F174" s="88">
        <v>23140</v>
      </c>
      <c r="G174" s="41">
        <f t="shared" si="4"/>
        <v>641</v>
      </c>
      <c r="H174" s="42">
        <f t="shared" si="5"/>
        <v>0.22667798288422092</v>
      </c>
      <c r="I174" s="20" t="s">
        <v>628</v>
      </c>
      <c r="J174" s="37" t="s">
        <v>573</v>
      </c>
      <c r="K174" s="33">
        <v>0.22667798288422092</v>
      </c>
      <c r="L174" s="38" t="s">
        <v>30</v>
      </c>
    </row>
    <row r="175" spans="2:12" x14ac:dyDescent="0.25">
      <c r="B175" s="39">
        <v>988</v>
      </c>
      <c r="C175" s="39">
        <v>474</v>
      </c>
      <c r="D175" s="39">
        <v>370070</v>
      </c>
      <c r="E175" s="40">
        <v>9.4600000000000009</v>
      </c>
      <c r="F175" s="88">
        <v>23461</v>
      </c>
      <c r="G175" s="41">
        <f t="shared" si="4"/>
        <v>514</v>
      </c>
      <c r="H175" s="42">
        <f t="shared" si="5"/>
        <v>0.13889264193260734</v>
      </c>
      <c r="I175" s="20" t="s">
        <v>628</v>
      </c>
      <c r="J175" s="37" t="s">
        <v>573</v>
      </c>
      <c r="K175" s="33">
        <v>0.13889264193260734</v>
      </c>
      <c r="L175" s="38" t="s">
        <v>40</v>
      </c>
    </row>
    <row r="176" spans="2:12" x14ac:dyDescent="0.25">
      <c r="B176" s="39">
        <v>1946</v>
      </c>
      <c r="C176" s="39">
        <v>270</v>
      </c>
      <c r="D176" s="39">
        <v>198350</v>
      </c>
      <c r="E176" s="40">
        <v>7.5</v>
      </c>
      <c r="F176" s="88">
        <v>11805</v>
      </c>
      <c r="G176" s="41">
        <f t="shared" si="4"/>
        <v>1676</v>
      </c>
      <c r="H176" s="42">
        <f t="shared" si="5"/>
        <v>0.84497101083942527</v>
      </c>
      <c r="I176" s="20" t="s">
        <v>628</v>
      </c>
      <c r="J176" s="37" t="s">
        <v>573</v>
      </c>
      <c r="K176" s="33">
        <v>0.84497101083942527</v>
      </c>
      <c r="L176" s="38" t="s">
        <v>13</v>
      </c>
    </row>
    <row r="177" spans="2:12" x14ac:dyDescent="0.25">
      <c r="B177" s="39">
        <v>1957</v>
      </c>
      <c r="C177" s="39">
        <v>490</v>
      </c>
      <c r="D177" s="39">
        <v>435726</v>
      </c>
      <c r="E177" s="40">
        <v>4.7300000000000004</v>
      </c>
      <c r="F177" s="88">
        <v>15969</v>
      </c>
      <c r="G177" s="41">
        <f t="shared" si="4"/>
        <v>1467</v>
      </c>
      <c r="H177" s="42">
        <f t="shared" si="5"/>
        <v>0.33667947287974553</v>
      </c>
      <c r="I177" s="20" t="s">
        <v>628</v>
      </c>
      <c r="J177" s="37" t="s">
        <v>573</v>
      </c>
      <c r="K177" s="33">
        <v>0.33667947287974553</v>
      </c>
      <c r="L177" s="38" t="s">
        <v>24</v>
      </c>
    </row>
    <row r="178" spans="2:12" x14ac:dyDescent="0.25">
      <c r="B178" s="39">
        <v>559</v>
      </c>
      <c r="C178" s="39">
        <v>392</v>
      </c>
      <c r="D178" s="39">
        <v>78789</v>
      </c>
      <c r="E178" s="40">
        <v>3.19</v>
      </c>
      <c r="F178" s="88">
        <v>2436</v>
      </c>
      <c r="G178" s="41">
        <f t="shared" si="4"/>
        <v>167</v>
      </c>
      <c r="H178" s="42">
        <f t="shared" si="5"/>
        <v>0.21195852212872357</v>
      </c>
      <c r="I178" s="20"/>
      <c r="J178" s="37" t="s">
        <v>403</v>
      </c>
      <c r="K178" s="33">
        <v>0.21195852212872357</v>
      </c>
      <c r="L178" s="38" t="s">
        <v>30</v>
      </c>
    </row>
    <row r="179" spans="2:12" x14ac:dyDescent="0.25">
      <c r="B179" s="39">
        <v>1307</v>
      </c>
      <c r="C179" s="39">
        <v>278</v>
      </c>
      <c r="D179" s="39">
        <v>98596</v>
      </c>
      <c r="E179" s="40">
        <v>2.4900000000000002</v>
      </c>
      <c r="F179" s="88">
        <v>47603</v>
      </c>
      <c r="G179" s="41">
        <f t="shared" si="4"/>
        <v>1029</v>
      </c>
      <c r="H179" s="42">
        <f t="shared" si="5"/>
        <v>1.0436528865268369</v>
      </c>
      <c r="I179" s="20"/>
      <c r="J179" s="37" t="s">
        <v>403</v>
      </c>
      <c r="K179" s="33">
        <v>1.0436528865268369</v>
      </c>
      <c r="L179" s="38" t="s">
        <v>40</v>
      </c>
    </row>
    <row r="180" spans="2:12" x14ac:dyDescent="0.25">
      <c r="B180" s="39">
        <v>1432</v>
      </c>
      <c r="C180" s="39">
        <v>425</v>
      </c>
      <c r="D180" s="39">
        <v>29589</v>
      </c>
      <c r="E180" s="40">
        <v>4.5</v>
      </c>
      <c r="F180" s="88">
        <v>42964</v>
      </c>
      <c r="G180" s="41">
        <f t="shared" si="4"/>
        <v>1007</v>
      </c>
      <c r="H180" s="42">
        <f t="shared" si="5"/>
        <v>3.4032917638311533</v>
      </c>
      <c r="I180" s="20"/>
      <c r="J180" s="37" t="s">
        <v>403</v>
      </c>
      <c r="K180" s="33">
        <v>3.4032917638311533</v>
      </c>
      <c r="L180" s="38" t="s">
        <v>13</v>
      </c>
    </row>
    <row r="181" spans="2:12" x14ac:dyDescent="0.25">
      <c r="B181" s="39">
        <v>623</v>
      </c>
      <c r="C181" s="39">
        <v>414</v>
      </c>
      <c r="D181" s="39">
        <v>290354</v>
      </c>
      <c r="E181" s="40">
        <v>6.49</v>
      </c>
      <c r="F181" s="88">
        <v>39923</v>
      </c>
      <c r="G181" s="41">
        <f t="shared" si="4"/>
        <v>209</v>
      </c>
      <c r="H181" s="42">
        <f t="shared" si="5"/>
        <v>7.1981098934404214E-2</v>
      </c>
      <c r="I181" s="20"/>
      <c r="J181" s="37" t="s">
        <v>403</v>
      </c>
      <c r="K181" s="33">
        <v>7.1981098934404214E-2</v>
      </c>
      <c r="L181" s="38" t="s">
        <v>24</v>
      </c>
    </row>
    <row r="182" spans="2:12" x14ac:dyDescent="0.25">
      <c r="B182" s="39">
        <v>198</v>
      </c>
      <c r="C182" s="39">
        <v>358</v>
      </c>
      <c r="D182" s="39">
        <v>66682</v>
      </c>
      <c r="E182" s="40">
        <v>6.73</v>
      </c>
      <c r="F182" s="88">
        <v>2293</v>
      </c>
      <c r="G182" s="41">
        <f t="shared" si="4"/>
        <v>-160</v>
      </c>
      <c r="H182" s="42">
        <f t="shared" si="5"/>
        <v>-0.2399448126930806</v>
      </c>
      <c r="I182" s="20"/>
      <c r="J182" s="37" t="s">
        <v>574</v>
      </c>
      <c r="K182" s="33">
        <v>-0.2399448126930806</v>
      </c>
      <c r="L182" s="38" t="s">
        <v>30</v>
      </c>
    </row>
    <row r="183" spans="2:12" x14ac:dyDescent="0.25">
      <c r="B183" s="39">
        <v>198</v>
      </c>
      <c r="C183" s="39">
        <v>373</v>
      </c>
      <c r="D183" s="39">
        <v>70707</v>
      </c>
      <c r="E183" s="40">
        <v>4.83</v>
      </c>
      <c r="F183" s="88">
        <v>25920</v>
      </c>
      <c r="G183" s="41">
        <f t="shared" si="4"/>
        <v>-175</v>
      </c>
      <c r="H183" s="42">
        <f t="shared" si="5"/>
        <v>-0.24750024750024749</v>
      </c>
      <c r="I183" s="20"/>
      <c r="J183" s="37" t="s">
        <v>574</v>
      </c>
      <c r="K183" s="33">
        <v>-0.24750024750024749</v>
      </c>
      <c r="L183" s="38" t="s">
        <v>40</v>
      </c>
    </row>
    <row r="184" spans="2:12" x14ac:dyDescent="0.25">
      <c r="B184" s="39">
        <v>353</v>
      </c>
      <c r="C184" s="39">
        <v>300</v>
      </c>
      <c r="D184" s="39">
        <v>142507</v>
      </c>
      <c r="E184" s="40">
        <v>5.3</v>
      </c>
      <c r="F184" s="88">
        <v>11035</v>
      </c>
      <c r="G184" s="41">
        <f t="shared" si="4"/>
        <v>53</v>
      </c>
      <c r="H184" s="42">
        <f t="shared" si="5"/>
        <v>3.7191155522184875E-2</v>
      </c>
      <c r="I184" s="20"/>
      <c r="J184" s="37" t="s">
        <v>574</v>
      </c>
      <c r="K184" s="33">
        <v>3.7191155522184875E-2</v>
      </c>
      <c r="L184" s="38" t="s">
        <v>13</v>
      </c>
    </row>
    <row r="185" spans="2:12" x14ac:dyDescent="0.25">
      <c r="B185" s="39">
        <v>520</v>
      </c>
      <c r="C185" s="39">
        <v>375</v>
      </c>
      <c r="D185" s="39">
        <v>369525</v>
      </c>
      <c r="E185" s="40">
        <v>6.54</v>
      </c>
      <c r="F185" s="88">
        <v>20733</v>
      </c>
      <c r="G185" s="41">
        <f t="shared" si="4"/>
        <v>145</v>
      </c>
      <c r="H185" s="42">
        <f t="shared" si="5"/>
        <v>3.9239564305527365E-2</v>
      </c>
      <c r="I185" s="20"/>
      <c r="J185" s="37" t="s">
        <v>574</v>
      </c>
      <c r="K185" s="33">
        <v>3.9239564305527365E-2</v>
      </c>
      <c r="L185" s="38" t="s">
        <v>24</v>
      </c>
    </row>
    <row r="186" spans="2:12" x14ac:dyDescent="0.25">
      <c r="B186" s="39">
        <v>961</v>
      </c>
      <c r="C186" s="39">
        <v>358</v>
      </c>
      <c r="D186" s="39">
        <v>62942</v>
      </c>
      <c r="E186" s="40">
        <v>6.8</v>
      </c>
      <c r="F186" s="88">
        <v>18693</v>
      </c>
      <c r="G186" s="41">
        <f t="shared" si="4"/>
        <v>603</v>
      </c>
      <c r="H186" s="42">
        <f t="shared" si="5"/>
        <v>0.95802484827301337</v>
      </c>
      <c r="I186" s="20"/>
      <c r="J186" s="37" t="s">
        <v>575</v>
      </c>
      <c r="K186" s="33">
        <v>0.95802484827301337</v>
      </c>
      <c r="L186" s="38" t="s">
        <v>30</v>
      </c>
    </row>
    <row r="187" spans="2:12" x14ac:dyDescent="0.25">
      <c r="B187" s="39">
        <v>1375</v>
      </c>
      <c r="C187" s="39">
        <v>330</v>
      </c>
      <c r="D187" s="39">
        <v>377382</v>
      </c>
      <c r="E187" s="40">
        <v>2.6</v>
      </c>
      <c r="F187" s="88">
        <v>7875</v>
      </c>
      <c r="G187" s="41">
        <f t="shared" si="4"/>
        <v>1045</v>
      </c>
      <c r="H187" s="42">
        <f t="shared" si="5"/>
        <v>0.27690774864725926</v>
      </c>
      <c r="I187" s="20"/>
      <c r="J187" s="37" t="s">
        <v>575</v>
      </c>
      <c r="K187" s="33">
        <v>0.27690774864725926</v>
      </c>
      <c r="L187" s="38" t="s">
        <v>40</v>
      </c>
    </row>
    <row r="188" spans="2:12" x14ac:dyDescent="0.25">
      <c r="B188" s="39">
        <v>1147</v>
      </c>
      <c r="C188" s="39">
        <v>388</v>
      </c>
      <c r="D188" s="39">
        <v>333851</v>
      </c>
      <c r="E188" s="40">
        <v>2.44</v>
      </c>
      <c r="F188" s="88">
        <v>8471</v>
      </c>
      <c r="G188" s="41">
        <f t="shared" si="4"/>
        <v>759</v>
      </c>
      <c r="H188" s="42">
        <f t="shared" si="5"/>
        <v>0.22734693021737243</v>
      </c>
      <c r="I188" s="20"/>
      <c r="J188" s="37" t="s">
        <v>575</v>
      </c>
      <c r="K188" s="33">
        <v>0.22734693021737243</v>
      </c>
      <c r="L188" s="38" t="s">
        <v>13</v>
      </c>
    </row>
    <row r="189" spans="2:12" x14ac:dyDescent="0.25">
      <c r="B189" s="39">
        <v>1707</v>
      </c>
      <c r="C189" s="39">
        <v>74</v>
      </c>
      <c r="D189" s="39">
        <v>270958</v>
      </c>
      <c r="E189" s="40">
        <v>3.09</v>
      </c>
      <c r="F189" s="88">
        <v>14090</v>
      </c>
      <c r="G189" s="41">
        <f t="shared" si="4"/>
        <v>1633</v>
      </c>
      <c r="H189" s="42">
        <f t="shared" si="5"/>
        <v>0.60267642955734835</v>
      </c>
      <c r="I189" s="20"/>
      <c r="J189" s="37" t="s">
        <v>575</v>
      </c>
      <c r="K189" s="33">
        <v>0.60267642955734835</v>
      </c>
      <c r="L189" s="38" t="s">
        <v>24</v>
      </c>
    </row>
    <row r="190" spans="2:12" x14ac:dyDescent="0.25">
      <c r="B190" s="39">
        <v>1693</v>
      </c>
      <c r="C190" s="39">
        <v>154</v>
      </c>
      <c r="D190" s="39">
        <v>445944</v>
      </c>
      <c r="E190" s="40">
        <v>5.69</v>
      </c>
      <c r="F190" s="88">
        <v>14216</v>
      </c>
      <c r="G190" s="41">
        <f t="shared" si="4"/>
        <v>1539</v>
      </c>
      <c r="H190" s="42">
        <f t="shared" si="5"/>
        <v>0.34511059684624079</v>
      </c>
      <c r="I190" s="20"/>
      <c r="J190" s="37" t="s">
        <v>355</v>
      </c>
      <c r="K190" s="33">
        <v>0.34511059684624079</v>
      </c>
      <c r="L190" s="38" t="s">
        <v>30</v>
      </c>
    </row>
    <row r="191" spans="2:12" x14ac:dyDescent="0.25">
      <c r="B191" s="39">
        <v>833</v>
      </c>
      <c r="C191" s="39">
        <v>380</v>
      </c>
      <c r="D191" s="39">
        <v>224830</v>
      </c>
      <c r="E191" s="40">
        <v>3.86</v>
      </c>
      <c r="F191" s="88">
        <v>3582</v>
      </c>
      <c r="G191" s="41">
        <f t="shared" si="4"/>
        <v>453</v>
      </c>
      <c r="H191" s="42">
        <f t="shared" si="5"/>
        <v>0.2014855668727483</v>
      </c>
      <c r="I191" s="20"/>
      <c r="J191" s="37" t="s">
        <v>355</v>
      </c>
      <c r="K191" s="33">
        <v>0.2014855668727483</v>
      </c>
      <c r="L191" s="38" t="s">
        <v>40</v>
      </c>
    </row>
    <row r="192" spans="2:12" x14ac:dyDescent="0.25">
      <c r="B192" s="39">
        <v>1222</v>
      </c>
      <c r="C192" s="39">
        <v>274</v>
      </c>
      <c r="D192" s="39">
        <v>487289</v>
      </c>
      <c r="E192" s="40">
        <v>3.16</v>
      </c>
      <c r="F192" s="88">
        <v>32500</v>
      </c>
      <c r="G192" s="41">
        <f t="shared" si="4"/>
        <v>948</v>
      </c>
      <c r="H192" s="42">
        <f t="shared" si="5"/>
        <v>0.19454574184929271</v>
      </c>
      <c r="I192" s="20"/>
      <c r="J192" s="37" t="s">
        <v>355</v>
      </c>
      <c r="K192" s="33">
        <v>0.19454574184929271</v>
      </c>
      <c r="L192" s="38" t="s">
        <v>13</v>
      </c>
    </row>
    <row r="193" spans="2:12" x14ac:dyDescent="0.25">
      <c r="B193" s="39">
        <v>777</v>
      </c>
      <c r="C193" s="39">
        <v>140</v>
      </c>
      <c r="D193" s="39">
        <v>11435</v>
      </c>
      <c r="E193" s="40">
        <v>1.6</v>
      </c>
      <c r="F193" s="88">
        <v>6832</v>
      </c>
      <c r="G193" s="41">
        <f t="shared" si="4"/>
        <v>637</v>
      </c>
      <c r="H193" s="42">
        <f t="shared" si="5"/>
        <v>5.5706165282028861</v>
      </c>
      <c r="I193" s="20"/>
      <c r="J193" s="37" t="s">
        <v>355</v>
      </c>
      <c r="K193" s="33">
        <v>5.5706165282028861</v>
      </c>
      <c r="L193" s="38" t="s">
        <v>24</v>
      </c>
    </row>
    <row r="194" spans="2:12" x14ac:dyDescent="0.25">
      <c r="B194" s="39">
        <v>1957</v>
      </c>
      <c r="C194" s="39">
        <v>76</v>
      </c>
      <c r="D194" s="39">
        <v>447902</v>
      </c>
      <c r="E194" s="40">
        <v>6.09</v>
      </c>
      <c r="F194" s="88">
        <v>33381</v>
      </c>
      <c r="G194" s="41">
        <f t="shared" si="4"/>
        <v>1881</v>
      </c>
      <c r="H194" s="42">
        <f t="shared" si="5"/>
        <v>0.41995793722733987</v>
      </c>
      <c r="I194" s="20"/>
      <c r="J194" s="37" t="s">
        <v>76</v>
      </c>
      <c r="K194" s="33">
        <v>0.41995793722733987</v>
      </c>
      <c r="L194" s="38" t="s">
        <v>30</v>
      </c>
    </row>
    <row r="195" spans="2:12" x14ac:dyDescent="0.25">
      <c r="B195" s="39">
        <v>405</v>
      </c>
      <c r="C195" s="39">
        <v>66</v>
      </c>
      <c r="D195" s="39">
        <v>418696</v>
      </c>
      <c r="E195" s="40">
        <v>5.59</v>
      </c>
      <c r="F195" s="88">
        <v>48419</v>
      </c>
      <c r="G195" s="41">
        <f t="shared" ref="G195:G201" si="6">B195-C195</f>
        <v>339</v>
      </c>
      <c r="H195" s="42">
        <f t="shared" ref="H195:H201" si="7">G195/D195*100</f>
        <v>8.0965664826031306E-2</v>
      </c>
      <c r="I195" s="20"/>
      <c r="J195" s="37" t="s">
        <v>76</v>
      </c>
      <c r="K195" s="33">
        <v>8.0965664826031306E-2</v>
      </c>
      <c r="L195" s="38" t="s">
        <v>40</v>
      </c>
    </row>
    <row r="196" spans="2:12" x14ac:dyDescent="0.25">
      <c r="B196" s="39">
        <v>1581</v>
      </c>
      <c r="C196" s="39">
        <v>71</v>
      </c>
      <c r="D196" s="39">
        <v>484364</v>
      </c>
      <c r="E196" s="40">
        <v>3.55</v>
      </c>
      <c r="F196" s="88">
        <v>16149</v>
      </c>
      <c r="G196" s="41">
        <f t="shared" si="6"/>
        <v>1510</v>
      </c>
      <c r="H196" s="42">
        <f t="shared" si="7"/>
        <v>0.311749015203442</v>
      </c>
      <c r="I196" s="20"/>
      <c r="J196" s="37" t="s">
        <v>76</v>
      </c>
      <c r="K196" s="33">
        <v>0.311749015203442</v>
      </c>
      <c r="L196" s="38" t="s">
        <v>13</v>
      </c>
    </row>
    <row r="197" spans="2:12" x14ac:dyDescent="0.25">
      <c r="B197" s="39">
        <v>1035</v>
      </c>
      <c r="C197" s="39">
        <v>171</v>
      </c>
      <c r="D197" s="39">
        <v>148477</v>
      </c>
      <c r="E197" s="40">
        <v>5.21</v>
      </c>
      <c r="F197" s="88">
        <v>7541</v>
      </c>
      <c r="G197" s="41">
        <f t="shared" si="6"/>
        <v>864</v>
      </c>
      <c r="H197" s="42">
        <f t="shared" si="7"/>
        <v>0.58190830903102841</v>
      </c>
      <c r="I197" s="20"/>
      <c r="J197" s="37" t="s">
        <v>76</v>
      </c>
      <c r="K197" s="33">
        <v>0.58190830903102841</v>
      </c>
      <c r="L197" s="38" t="s">
        <v>24</v>
      </c>
    </row>
    <row r="198" spans="2:12" x14ac:dyDescent="0.25">
      <c r="B198" s="39">
        <v>1765</v>
      </c>
      <c r="C198" s="39">
        <v>109</v>
      </c>
      <c r="D198" s="39">
        <v>468301</v>
      </c>
      <c r="E198" s="40">
        <v>1.82</v>
      </c>
      <c r="F198" s="88">
        <v>20042</v>
      </c>
      <c r="G198" s="41">
        <f t="shared" si="6"/>
        <v>1656</v>
      </c>
      <c r="H198" s="42">
        <f t="shared" si="7"/>
        <v>0.35361871958419905</v>
      </c>
      <c r="I198" s="20"/>
      <c r="J198" s="37" t="s">
        <v>25</v>
      </c>
      <c r="K198" s="33">
        <v>0.35361871958419905</v>
      </c>
      <c r="L198" s="38" t="s">
        <v>30</v>
      </c>
    </row>
    <row r="199" spans="2:12" x14ac:dyDescent="0.25">
      <c r="B199" s="39">
        <v>837</v>
      </c>
      <c r="C199" s="39">
        <v>430</v>
      </c>
      <c r="D199" s="39">
        <v>364820</v>
      </c>
      <c r="E199" s="40">
        <v>4</v>
      </c>
      <c r="F199" s="88">
        <v>49400</v>
      </c>
      <c r="G199" s="41">
        <f t="shared" si="6"/>
        <v>407</v>
      </c>
      <c r="H199" s="42">
        <f t="shared" si="7"/>
        <v>0.11156186612576065</v>
      </c>
      <c r="I199" s="20"/>
      <c r="J199" s="37" t="s">
        <v>25</v>
      </c>
      <c r="K199" s="33">
        <v>0.11156186612576065</v>
      </c>
      <c r="L199" s="38" t="s">
        <v>40</v>
      </c>
    </row>
    <row r="200" spans="2:12" x14ac:dyDescent="0.25">
      <c r="B200" s="39">
        <v>337</v>
      </c>
      <c r="C200" s="39">
        <v>68</v>
      </c>
      <c r="D200" s="39">
        <v>456298</v>
      </c>
      <c r="E200" s="40">
        <v>7.57</v>
      </c>
      <c r="F200" s="88">
        <v>4007</v>
      </c>
      <c r="G200" s="41">
        <f t="shared" si="6"/>
        <v>269</v>
      </c>
      <c r="H200" s="42">
        <f t="shared" si="7"/>
        <v>5.8952701962314107E-2</v>
      </c>
      <c r="I200" s="20"/>
      <c r="J200" s="37" t="s">
        <v>25</v>
      </c>
      <c r="K200" s="33">
        <v>5.8952701962314107E-2</v>
      </c>
      <c r="L200" s="38" t="s">
        <v>13</v>
      </c>
    </row>
    <row r="201" spans="2:12" x14ac:dyDescent="0.25">
      <c r="B201" s="39">
        <v>119</v>
      </c>
      <c r="C201" s="39">
        <v>456</v>
      </c>
      <c r="D201" s="39">
        <v>82558</v>
      </c>
      <c r="E201" s="40">
        <v>6.81</v>
      </c>
      <c r="F201" s="88">
        <v>12174</v>
      </c>
      <c r="G201" s="41">
        <f t="shared" si="6"/>
        <v>-337</v>
      </c>
      <c r="H201" s="42">
        <f t="shared" si="7"/>
        <v>-0.4081978730104896</v>
      </c>
      <c r="I201" s="20"/>
      <c r="J201" s="37" t="s">
        <v>25</v>
      </c>
      <c r="K201" s="33">
        <v>-0.4081978730104896</v>
      </c>
      <c r="L201" s="38" t="s">
        <v>24</v>
      </c>
    </row>
    <row r="202" spans="2:12" x14ac:dyDescent="0.25">
      <c r="B202" s="32"/>
      <c r="C202" s="32"/>
      <c r="D202" s="32">
        <f>SUM(D2:D201)</f>
        <v>52886022</v>
      </c>
      <c r="E202" s="48"/>
      <c r="F202" s="89"/>
      <c r="G202" s="20"/>
      <c r="H202" s="20"/>
      <c r="I202" s="20"/>
      <c r="J202" s="20"/>
      <c r="K202" s="20"/>
      <c r="L202" s="20"/>
    </row>
    <row r="203" spans="2:12" ht="14.25" customHeight="1" x14ac:dyDescent="0.25"/>
    <row r="204" spans="2:12" ht="14.25" customHeight="1" x14ac:dyDescent="0.25"/>
    <row r="205" spans="2:12" ht="14.25" customHeight="1" x14ac:dyDescent="0.25"/>
    <row r="206" spans="2:12" ht="14.25" customHeight="1" x14ac:dyDescent="0.25"/>
    <row r="207" spans="2:12" ht="14.25" customHeight="1" x14ac:dyDescent="0.25"/>
    <row r="208" spans="2:12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9BB3-EA9E-4E33-A6A4-49AE627CFE61}">
  <sheetPr>
    <tabColor rgb="FF00B050"/>
  </sheetPr>
  <dimension ref="A8:AG61"/>
  <sheetViews>
    <sheetView zoomScale="70" zoomScaleNormal="70" workbookViewId="0">
      <selection activeCell="K40" sqref="K40"/>
    </sheetView>
  </sheetViews>
  <sheetFormatPr defaultColWidth="12.42578125" defaultRowHeight="15" x14ac:dyDescent="0.25"/>
  <cols>
    <col min="1" max="1" width="27.42578125" bestFit="1" customWidth="1"/>
    <col min="2" max="2" width="18.28515625" customWidth="1"/>
    <col min="3" max="3" width="24" customWidth="1"/>
    <col min="5" max="5" width="15.42578125" bestFit="1" customWidth="1"/>
    <col min="6" max="6" width="21.85546875" customWidth="1"/>
    <col min="8" max="8" width="22.28515625" bestFit="1" customWidth="1"/>
    <col min="9" max="9" width="31.42578125" bestFit="1" customWidth="1"/>
    <col min="14" max="14" width="27.42578125" bestFit="1" customWidth="1"/>
    <col min="15" max="15" width="16" bestFit="1" customWidth="1"/>
    <col min="16" max="16" width="21.85546875" bestFit="1" customWidth="1"/>
    <col min="21" max="21" width="27.42578125" bestFit="1" customWidth="1"/>
    <col min="22" max="22" width="24.28515625" bestFit="1" customWidth="1"/>
    <col min="23" max="23" width="13.140625" bestFit="1" customWidth="1"/>
    <col min="25" max="25" width="22.5703125" bestFit="1" customWidth="1"/>
    <col min="26" max="26" width="31.42578125" bestFit="1" customWidth="1"/>
  </cols>
  <sheetData>
    <row r="8" spans="21:23" x14ac:dyDescent="0.25">
      <c r="U8" s="104"/>
      <c r="V8" s="104"/>
      <c r="W8" s="104"/>
    </row>
    <row r="35" spans="1:33" ht="18.75" x14ac:dyDescent="0.3">
      <c r="A35" s="125" t="s">
        <v>641</v>
      </c>
      <c r="B35" s="126" t="s">
        <v>638</v>
      </c>
      <c r="C35" s="127" t="s">
        <v>642</v>
      </c>
      <c r="E35" s="105" t="s">
        <v>604</v>
      </c>
      <c r="F35" s="106" t="s">
        <v>606</v>
      </c>
      <c r="H35" t="s">
        <v>639</v>
      </c>
      <c r="I35" t="s">
        <v>638</v>
      </c>
    </row>
    <row r="36" spans="1:33" ht="18.75" x14ac:dyDescent="0.3">
      <c r="A36" s="122" t="s">
        <v>27</v>
      </c>
      <c r="B36" s="110">
        <v>107</v>
      </c>
      <c r="C36" s="124">
        <f t="shared" ref="C36:C41" si="0">RANK(B36,$B$36:$B$53)</f>
        <v>1</v>
      </c>
      <c r="E36" s="106" t="s">
        <v>40</v>
      </c>
      <c r="F36" s="108">
        <v>5973</v>
      </c>
      <c r="H36" t="s">
        <v>27</v>
      </c>
      <c r="I36">
        <f>COUNTIF(Posts!N2:P301,"#PepsiCoRefresh")</f>
        <v>107</v>
      </c>
    </row>
    <row r="37" spans="1:33" ht="18.75" x14ac:dyDescent="0.3">
      <c r="A37" s="121" t="s">
        <v>59</v>
      </c>
      <c r="B37" s="109">
        <v>103</v>
      </c>
      <c r="C37" s="123">
        <f t="shared" si="0"/>
        <v>2</v>
      </c>
      <c r="E37" s="106" t="s">
        <v>49</v>
      </c>
      <c r="F37" s="108">
        <v>5973</v>
      </c>
      <c r="H37" t="s">
        <v>34</v>
      </c>
      <c r="I37">
        <f>COUNTIF(Posts!N2:P301,"#ThirstyForMore")</f>
        <v>102</v>
      </c>
    </row>
    <row r="38" spans="1:33" ht="18.75" x14ac:dyDescent="0.3">
      <c r="A38" s="122" t="s">
        <v>34</v>
      </c>
      <c r="B38" s="110">
        <v>102</v>
      </c>
      <c r="C38" s="124">
        <f t="shared" si="0"/>
        <v>3</v>
      </c>
      <c r="E38" s="106" t="s">
        <v>30</v>
      </c>
      <c r="F38" s="108">
        <v>17869</v>
      </c>
      <c r="H38" t="s">
        <v>59</v>
      </c>
      <c r="I38">
        <f>COUNTIF(Posts!N2:P301,"#LiveForNow")</f>
        <v>103</v>
      </c>
      <c r="AF38" s="28" t="s">
        <v>604</v>
      </c>
      <c r="AG38" t="s">
        <v>640</v>
      </c>
    </row>
    <row r="39" spans="1:33" ht="18.75" x14ac:dyDescent="0.3">
      <c r="A39" s="121" t="s">
        <v>597</v>
      </c>
      <c r="B39" s="109">
        <v>15</v>
      </c>
      <c r="C39" s="123">
        <f t="shared" si="0"/>
        <v>4</v>
      </c>
      <c r="E39" s="106" t="s">
        <v>49</v>
      </c>
      <c r="F39" s="108">
        <v>11969</v>
      </c>
      <c r="H39" t="s">
        <v>592</v>
      </c>
      <c r="I39">
        <f>COUNTIF(Posts!N2:P301,"#SmoothLikeNitroPepsi")</f>
        <v>5</v>
      </c>
      <c r="AF39" s="29" t="s">
        <v>597</v>
      </c>
      <c r="AG39" s="31">
        <v>15</v>
      </c>
    </row>
    <row r="40" spans="1:33" ht="18.75" x14ac:dyDescent="0.3">
      <c r="A40" s="122" t="s">
        <v>598</v>
      </c>
      <c r="B40" s="110">
        <v>15</v>
      </c>
      <c r="C40" s="124">
        <f t="shared" si="0"/>
        <v>4</v>
      </c>
      <c r="E40" s="106" t="s">
        <v>32</v>
      </c>
      <c r="F40" s="108">
        <v>5900</v>
      </c>
      <c r="H40" t="s">
        <v>597</v>
      </c>
      <c r="I40">
        <f>COUNTIF(Posts!N2:P301,"#AnytimeIsPepsiTime")</f>
        <v>15</v>
      </c>
      <c r="AF40" s="29" t="s">
        <v>598</v>
      </c>
      <c r="AG40" s="31">
        <v>15</v>
      </c>
    </row>
    <row r="41" spans="1:33" ht="18.75" x14ac:dyDescent="0.3">
      <c r="A41" s="128" t="s">
        <v>592</v>
      </c>
      <c r="B41" s="119">
        <v>5</v>
      </c>
      <c r="C41" s="129">
        <f t="shared" si="0"/>
        <v>6</v>
      </c>
      <c r="E41" s="106" t="s">
        <v>13</v>
      </c>
      <c r="F41" s="108">
        <v>12191</v>
      </c>
      <c r="H41" t="s">
        <v>598</v>
      </c>
      <c r="I41">
        <f>COUNTIF(Posts!N2:P301,"#AnytimeIsPepsiTime")</f>
        <v>15</v>
      </c>
      <c r="AF41" s="29" t="s">
        <v>59</v>
      </c>
      <c r="AG41" s="31">
        <v>103</v>
      </c>
    </row>
    <row r="42" spans="1:33" x14ac:dyDescent="0.25">
      <c r="E42" s="106" t="s">
        <v>20</v>
      </c>
      <c r="F42" s="108">
        <v>5913</v>
      </c>
      <c r="AF42" s="29" t="s">
        <v>27</v>
      </c>
      <c r="AG42" s="31">
        <v>107</v>
      </c>
    </row>
    <row r="43" spans="1:33" ht="18.75" x14ac:dyDescent="0.3">
      <c r="A43" s="130" t="s">
        <v>1</v>
      </c>
      <c r="B43" s="131" t="s">
        <v>3</v>
      </c>
      <c r="C43" s="132" t="s">
        <v>603</v>
      </c>
      <c r="E43" s="106" t="s">
        <v>71</v>
      </c>
      <c r="F43" s="108">
        <v>6278</v>
      </c>
      <c r="H43" s="105" t="s">
        <v>604</v>
      </c>
      <c r="I43" s="106" t="s">
        <v>616</v>
      </c>
      <c r="AF43" s="29" t="s">
        <v>592</v>
      </c>
      <c r="AG43" s="31">
        <v>5</v>
      </c>
    </row>
    <row r="44" spans="1:33" ht="18.75" x14ac:dyDescent="0.3">
      <c r="A44" s="111" t="s">
        <v>13</v>
      </c>
      <c r="B44" s="109" t="s">
        <v>71</v>
      </c>
      <c r="C44" s="113">
        <v>6278</v>
      </c>
      <c r="E44" s="106" t="s">
        <v>24</v>
      </c>
      <c r="F44" s="108">
        <v>24099</v>
      </c>
      <c r="H44" s="106" t="s">
        <v>597</v>
      </c>
      <c r="I44" s="107">
        <v>5690.0046706504563</v>
      </c>
      <c r="T44" s="95"/>
      <c r="U44" s="96"/>
      <c r="V44" s="97"/>
      <c r="AF44" s="29" t="s">
        <v>34</v>
      </c>
      <c r="AG44" s="31">
        <v>102</v>
      </c>
    </row>
    <row r="45" spans="1:33" ht="18.75" x14ac:dyDescent="0.3">
      <c r="A45" s="112" t="s">
        <v>24</v>
      </c>
      <c r="B45" s="110" t="s">
        <v>32</v>
      </c>
      <c r="C45" s="114">
        <v>6130</v>
      </c>
      <c r="E45" s="106" t="s">
        <v>49</v>
      </c>
      <c r="F45" s="108">
        <v>5879</v>
      </c>
      <c r="H45" s="106" t="s">
        <v>598</v>
      </c>
      <c r="I45" s="107">
        <v>5440.0072021361048</v>
      </c>
      <c r="T45" s="98"/>
      <c r="U45" s="99"/>
      <c r="V45" s="100"/>
      <c r="AF45" s="29" t="s">
        <v>605</v>
      </c>
      <c r="AG45" s="31">
        <v>347</v>
      </c>
    </row>
    <row r="46" spans="1:33" ht="18.75" x14ac:dyDescent="0.3">
      <c r="A46" s="111" t="s">
        <v>24</v>
      </c>
      <c r="B46" s="109" t="s">
        <v>20</v>
      </c>
      <c r="C46" s="113">
        <v>6061</v>
      </c>
      <c r="E46" s="106" t="s">
        <v>32</v>
      </c>
      <c r="F46" s="108">
        <v>6130</v>
      </c>
      <c r="H46" s="106" t="s">
        <v>59</v>
      </c>
      <c r="I46" s="107">
        <v>5905.0039521686258</v>
      </c>
      <c r="T46" s="98"/>
      <c r="U46" s="99"/>
      <c r="V46" s="100"/>
    </row>
    <row r="47" spans="1:33" ht="18.75" x14ac:dyDescent="0.3">
      <c r="A47" s="112" t="s">
        <v>30</v>
      </c>
      <c r="B47" s="110" t="s">
        <v>49</v>
      </c>
      <c r="C47" s="114">
        <v>6030</v>
      </c>
      <c r="E47" s="106" t="s">
        <v>20</v>
      </c>
      <c r="F47" s="108">
        <v>6061</v>
      </c>
      <c r="H47" s="106" t="s">
        <v>27</v>
      </c>
      <c r="I47" s="107">
        <v>11465.027880654488</v>
      </c>
      <c r="T47" s="98"/>
      <c r="U47" s="99"/>
      <c r="V47" s="100"/>
    </row>
    <row r="48" spans="1:33" ht="18.75" x14ac:dyDescent="0.3">
      <c r="A48" s="111" t="s">
        <v>24</v>
      </c>
      <c r="B48" s="109" t="s">
        <v>71</v>
      </c>
      <c r="C48" s="113">
        <v>6029</v>
      </c>
      <c r="E48" s="106" t="s">
        <v>71</v>
      </c>
      <c r="F48" s="108">
        <v>6029</v>
      </c>
      <c r="H48" s="106" t="s">
        <v>592</v>
      </c>
      <c r="I48" s="107">
        <v>5547.0071232556784</v>
      </c>
      <c r="T48" s="98"/>
      <c r="U48" s="99"/>
      <c r="V48" s="100"/>
    </row>
    <row r="49" spans="1:22" ht="18.75" x14ac:dyDescent="0.3">
      <c r="A49" s="112" t="s">
        <v>40</v>
      </c>
      <c r="B49" s="110" t="s">
        <v>49</v>
      </c>
      <c r="C49" s="114">
        <v>5973</v>
      </c>
      <c r="E49" s="106" t="s">
        <v>605</v>
      </c>
      <c r="F49" s="108">
        <v>60132</v>
      </c>
      <c r="H49" s="106" t="s">
        <v>34</v>
      </c>
      <c r="I49" s="107">
        <v>11475.00695141797</v>
      </c>
      <c r="T49" s="98"/>
      <c r="U49" s="99"/>
      <c r="V49" s="100"/>
    </row>
    <row r="50" spans="1:22" ht="18.75" x14ac:dyDescent="0.3">
      <c r="A50" s="111" t="s">
        <v>30</v>
      </c>
      <c r="B50" s="109" t="s">
        <v>49</v>
      </c>
      <c r="C50" s="113">
        <v>5939</v>
      </c>
      <c r="H50" s="106" t="s">
        <v>605</v>
      </c>
      <c r="I50" s="107">
        <v>45522.057780283321</v>
      </c>
      <c r="T50" s="98"/>
      <c r="U50" s="99"/>
      <c r="V50" s="100"/>
    </row>
    <row r="51" spans="1:22" ht="18.75" x14ac:dyDescent="0.3">
      <c r="A51" s="112" t="s">
        <v>13</v>
      </c>
      <c r="B51" s="110" t="s">
        <v>20</v>
      </c>
      <c r="C51" s="114">
        <v>5913</v>
      </c>
      <c r="T51" s="98"/>
      <c r="U51" s="99"/>
      <c r="V51" s="100"/>
    </row>
    <row r="52" spans="1:22" ht="18.75" x14ac:dyDescent="0.3">
      <c r="A52" s="118" t="s">
        <v>30</v>
      </c>
      <c r="B52" s="119" t="s">
        <v>32</v>
      </c>
      <c r="C52" s="120">
        <v>5900</v>
      </c>
      <c r="T52" s="98"/>
      <c r="U52" s="99"/>
      <c r="V52" s="100"/>
    </row>
    <row r="53" spans="1:22" ht="18.75" x14ac:dyDescent="0.3">
      <c r="A53" s="115" t="s">
        <v>24</v>
      </c>
      <c r="B53" s="116" t="s">
        <v>49</v>
      </c>
      <c r="C53" s="117">
        <v>5879</v>
      </c>
      <c r="T53" s="98"/>
      <c r="U53" s="99"/>
      <c r="V53" s="100"/>
    </row>
    <row r="54" spans="1:22" x14ac:dyDescent="0.25">
      <c r="T54" s="98"/>
      <c r="U54" s="99"/>
      <c r="V54" s="100"/>
    </row>
    <row r="55" spans="1:22" x14ac:dyDescent="0.25">
      <c r="T55" s="98"/>
      <c r="U55" s="99"/>
      <c r="V55" s="100"/>
    </row>
    <row r="56" spans="1:22" x14ac:dyDescent="0.25">
      <c r="T56" s="98"/>
      <c r="U56" s="99"/>
      <c r="V56" s="100"/>
    </row>
    <row r="57" spans="1:22" x14ac:dyDescent="0.25">
      <c r="T57" s="98"/>
      <c r="U57" s="99"/>
      <c r="V57" s="100"/>
    </row>
    <row r="58" spans="1:22" x14ac:dyDescent="0.25">
      <c r="T58" s="98"/>
      <c r="U58" s="99"/>
      <c r="V58" s="100"/>
    </row>
    <row r="59" spans="1:22" x14ac:dyDescent="0.25">
      <c r="T59" s="98"/>
      <c r="U59" s="99"/>
      <c r="V59" s="100"/>
    </row>
    <row r="60" spans="1:22" x14ac:dyDescent="0.25">
      <c r="T60" s="98"/>
      <c r="U60" s="99"/>
      <c r="V60" s="100"/>
    </row>
    <row r="61" spans="1:22" x14ac:dyDescent="0.25">
      <c r="T61" s="101"/>
      <c r="U61" s="102"/>
      <c r="V61" s="103"/>
    </row>
  </sheetData>
  <pageMargins left="0.7" right="0.7" top="0.75" bottom="0.75" header="0.3" footer="0.3"/>
  <drawing r:id="rId5"/>
  <legacyDrawing r:id="rId6"/>
  <tableParts count="3"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F809-16C0-423A-BB0E-D792080A3F54}">
  <sheetPr>
    <tabColor rgb="FF00B050"/>
  </sheetPr>
  <dimension ref="W1:Y20"/>
  <sheetViews>
    <sheetView workbookViewId="0">
      <selection activeCell="R32" sqref="R32"/>
    </sheetView>
  </sheetViews>
  <sheetFormatPr defaultRowHeight="15" x14ac:dyDescent="0.25"/>
  <cols>
    <col min="23" max="23" width="9.7109375" bestFit="1" customWidth="1"/>
    <col min="24" max="24" width="19" bestFit="1" customWidth="1"/>
    <col min="25" max="25" width="10.42578125" bestFit="1" customWidth="1"/>
  </cols>
  <sheetData>
    <row r="1" spans="23:25" x14ac:dyDescent="0.25">
      <c r="W1" s="28" t="s">
        <v>604</v>
      </c>
      <c r="X1" t="s">
        <v>643</v>
      </c>
    </row>
    <row r="2" spans="23:25" x14ac:dyDescent="0.25">
      <c r="W2" s="29" t="s">
        <v>40</v>
      </c>
      <c r="X2" s="5">
        <v>27.324953416486316</v>
      </c>
    </row>
    <row r="3" spans="23:25" x14ac:dyDescent="0.25">
      <c r="W3" s="29" t="s">
        <v>30</v>
      </c>
      <c r="X3" s="5">
        <v>28.812660632475907</v>
      </c>
    </row>
    <row r="4" spans="23:25" x14ac:dyDescent="0.25">
      <c r="W4" s="29" t="s">
        <v>13</v>
      </c>
      <c r="X4" s="5">
        <v>46.40012838310669</v>
      </c>
    </row>
    <row r="5" spans="23:25" x14ac:dyDescent="0.25">
      <c r="W5" s="29" t="s">
        <v>24</v>
      </c>
      <c r="X5" s="5">
        <v>45.105333156680032</v>
      </c>
    </row>
    <row r="6" spans="23:25" x14ac:dyDescent="0.25">
      <c r="W6" s="29" t="s">
        <v>605</v>
      </c>
      <c r="X6" s="5">
        <v>147.64307558874896</v>
      </c>
    </row>
    <row r="9" spans="23:25" x14ac:dyDescent="0.25">
      <c r="W9" s="28" t="s">
        <v>604</v>
      </c>
      <c r="X9" t="s">
        <v>612</v>
      </c>
    </row>
    <row r="10" spans="23:25" x14ac:dyDescent="0.25">
      <c r="W10" s="29" t="s">
        <v>40</v>
      </c>
      <c r="X10" s="31">
        <v>1379539</v>
      </c>
    </row>
    <row r="11" spans="23:25" x14ac:dyDescent="0.25">
      <c r="W11" s="29" t="s">
        <v>30</v>
      </c>
      <c r="X11" s="31">
        <v>1164373</v>
      </c>
    </row>
    <row r="12" spans="23:25" x14ac:dyDescent="0.25">
      <c r="W12" s="29" t="s">
        <v>13</v>
      </c>
      <c r="X12" s="31">
        <v>1060357</v>
      </c>
    </row>
    <row r="13" spans="23:25" x14ac:dyDescent="0.25">
      <c r="W13" s="29" t="s">
        <v>24</v>
      </c>
      <c r="X13" s="31">
        <v>1228647</v>
      </c>
    </row>
    <row r="14" spans="23:25" x14ac:dyDescent="0.25">
      <c r="W14" s="29" t="s">
        <v>605</v>
      </c>
      <c r="X14" s="31">
        <v>4832916</v>
      </c>
    </row>
    <row r="16" spans="23:25" ht="15.75" x14ac:dyDescent="0.25">
      <c r="W16" s="133" t="s">
        <v>1</v>
      </c>
      <c r="X16" s="134" t="s">
        <v>644</v>
      </c>
      <c r="Y16" s="134" t="s">
        <v>645</v>
      </c>
    </row>
    <row r="17" spans="23:25" x14ac:dyDescent="0.25">
      <c r="W17" s="20" t="str" cm="1">
        <f t="array" ref="W17:W20">_xlfn.UNIQUE(Posts!B2:B301)</f>
        <v>Twitter</v>
      </c>
      <c r="X17" s="20">
        <f>SUMIF(Posts!B2:B301,"Twitter",Posts!K2:K301)</f>
        <v>256005</v>
      </c>
      <c r="Y17" s="20">
        <f>SUMIF('Engagement Summary'!L2:L201,"Twitter",'Engagement Summary'!F2:F201)</f>
        <v>1060357</v>
      </c>
    </row>
    <row r="18" spans="23:25" x14ac:dyDescent="0.25">
      <c r="W18" s="20" t="str">
        <v>YouTube</v>
      </c>
      <c r="X18" s="20">
        <f>SUMIF(Posts!B2:B301,"YouTube",Posts!K2:K301)</f>
        <v>212941</v>
      </c>
      <c r="Y18" s="20">
        <f>SUMIF('Engagement Summary'!L2:L201,"YouTube",'Engagement Summary'!F2:F201)</f>
        <v>1228647</v>
      </c>
    </row>
    <row r="19" spans="23:25" x14ac:dyDescent="0.25">
      <c r="W19" s="20" t="str">
        <v>Instagram</v>
      </c>
      <c r="X19" s="20">
        <f>SUMIF(Posts!B2:B301,"Instagram",Posts!K2:K301)</f>
        <v>263579</v>
      </c>
      <c r="Y19" s="20">
        <f>SUMIF('Engagement Summary'!L2:L201,"Instagram",'Engagement Summary'!F2:F201)</f>
        <v>1164373</v>
      </c>
    </row>
    <row r="20" spans="23:25" x14ac:dyDescent="0.25">
      <c r="W20" s="20" t="str">
        <v>Facebook</v>
      </c>
      <c r="X20" s="20">
        <f>SUMIF(Posts!B2:B301,"Facebook",Posts!K2:K301)</f>
        <v>305242</v>
      </c>
      <c r="Y20" s="20">
        <f>SUMIF('Engagement Summary'!L2:L201,"Facebook",'Engagement Summary'!F2:F201)</f>
        <v>1379539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4001-5614-41EA-94D9-28120B16D1DA}">
  <sheetPr>
    <tabColor rgb="FF00B050"/>
  </sheetPr>
  <dimension ref="W1:X50"/>
  <sheetViews>
    <sheetView topLeftCell="B1" workbookViewId="0">
      <selection activeCell="T41" sqref="T41"/>
    </sheetView>
  </sheetViews>
  <sheetFormatPr defaultRowHeight="15" x14ac:dyDescent="0.25"/>
  <cols>
    <col min="23" max="23" width="22.28515625" bestFit="1" customWidth="1"/>
    <col min="24" max="24" width="31.42578125" bestFit="1" customWidth="1"/>
  </cols>
  <sheetData>
    <row r="1" spans="23:24" x14ac:dyDescent="0.25">
      <c r="W1" s="28" t="s">
        <v>604</v>
      </c>
      <c r="X1" t="s">
        <v>616</v>
      </c>
    </row>
    <row r="2" spans="23:24" x14ac:dyDescent="0.25">
      <c r="W2" s="29" t="s">
        <v>597</v>
      </c>
      <c r="X2" s="5">
        <v>5690.0046706504563</v>
      </c>
    </row>
    <row r="3" spans="23:24" x14ac:dyDescent="0.25">
      <c r="W3" s="29" t="s">
        <v>598</v>
      </c>
      <c r="X3" s="5">
        <v>5440.0072021361048</v>
      </c>
    </row>
    <row r="4" spans="23:24" x14ac:dyDescent="0.25">
      <c r="W4" s="29" t="s">
        <v>59</v>
      </c>
      <c r="X4" s="5">
        <v>5905.0039521686258</v>
      </c>
    </row>
    <row r="5" spans="23:24" x14ac:dyDescent="0.25">
      <c r="W5" s="29" t="s">
        <v>27</v>
      </c>
      <c r="X5" s="5">
        <v>11465.027880654488</v>
      </c>
    </row>
    <row r="6" spans="23:24" x14ac:dyDescent="0.25">
      <c r="W6" s="29" t="s">
        <v>592</v>
      </c>
      <c r="X6" s="5">
        <v>5547.0071232556784</v>
      </c>
    </row>
    <row r="7" spans="23:24" x14ac:dyDescent="0.25">
      <c r="W7" s="29" t="s">
        <v>34</v>
      </c>
      <c r="X7" s="5">
        <v>11475.00695141797</v>
      </c>
    </row>
    <row r="8" spans="23:24" x14ac:dyDescent="0.25">
      <c r="W8" s="29" t="s">
        <v>605</v>
      </c>
      <c r="X8" s="5">
        <v>45522.057780283321</v>
      </c>
    </row>
    <row r="10" spans="23:24" x14ac:dyDescent="0.25">
      <c r="W10" s="28" t="s">
        <v>604</v>
      </c>
      <c r="X10" t="s">
        <v>615</v>
      </c>
    </row>
    <row r="11" spans="23:24" x14ac:dyDescent="0.25">
      <c r="W11" s="29" t="s">
        <v>42</v>
      </c>
      <c r="X11" s="31">
        <v>2084819</v>
      </c>
    </row>
    <row r="12" spans="23:24" x14ac:dyDescent="0.25">
      <c r="W12" s="30" t="s">
        <v>40</v>
      </c>
      <c r="X12" s="31">
        <v>558118</v>
      </c>
    </row>
    <row r="13" spans="23:24" x14ac:dyDescent="0.25">
      <c r="W13" s="30" t="s">
        <v>30</v>
      </c>
      <c r="X13" s="31">
        <v>526691</v>
      </c>
    </row>
    <row r="14" spans="23:24" x14ac:dyDescent="0.25">
      <c r="W14" s="30" t="s">
        <v>13</v>
      </c>
      <c r="X14" s="31">
        <v>609023</v>
      </c>
    </row>
    <row r="15" spans="23:24" x14ac:dyDescent="0.25">
      <c r="W15" s="30" t="s">
        <v>24</v>
      </c>
      <c r="X15" s="31">
        <v>390987</v>
      </c>
    </row>
    <row r="16" spans="23:24" x14ac:dyDescent="0.25">
      <c r="W16" s="29" t="s">
        <v>49</v>
      </c>
      <c r="X16" s="31">
        <v>2224104</v>
      </c>
    </row>
    <row r="17" spans="23:24" x14ac:dyDescent="0.25">
      <c r="W17" s="30" t="s">
        <v>40</v>
      </c>
      <c r="X17" s="31">
        <v>975067</v>
      </c>
    </row>
    <row r="18" spans="23:24" x14ac:dyDescent="0.25">
      <c r="W18" s="30" t="s">
        <v>30</v>
      </c>
      <c r="X18" s="31">
        <v>388193</v>
      </c>
    </row>
    <row r="19" spans="23:24" x14ac:dyDescent="0.25">
      <c r="W19" s="30" t="s">
        <v>13</v>
      </c>
      <c r="X19" s="31">
        <v>490353</v>
      </c>
    </row>
    <row r="20" spans="23:24" x14ac:dyDescent="0.25">
      <c r="W20" s="30" t="s">
        <v>24</v>
      </c>
      <c r="X20" s="31">
        <v>370491</v>
      </c>
    </row>
    <row r="21" spans="23:24" x14ac:dyDescent="0.25">
      <c r="W21" s="29" t="s">
        <v>15</v>
      </c>
      <c r="X21" s="31">
        <v>1630594</v>
      </c>
    </row>
    <row r="22" spans="23:24" x14ac:dyDescent="0.25">
      <c r="W22" s="30" t="s">
        <v>40</v>
      </c>
      <c r="X22" s="31">
        <v>482519</v>
      </c>
    </row>
    <row r="23" spans="23:24" x14ac:dyDescent="0.25">
      <c r="W23" s="30" t="s">
        <v>30</v>
      </c>
      <c r="X23" s="31">
        <v>332418</v>
      </c>
    </row>
    <row r="24" spans="23:24" x14ac:dyDescent="0.25">
      <c r="W24" s="30" t="s">
        <v>13</v>
      </c>
      <c r="X24" s="31">
        <v>409892</v>
      </c>
    </row>
    <row r="25" spans="23:24" x14ac:dyDescent="0.25">
      <c r="W25" s="30" t="s">
        <v>24</v>
      </c>
      <c r="X25" s="31">
        <v>405765</v>
      </c>
    </row>
    <row r="26" spans="23:24" x14ac:dyDescent="0.25">
      <c r="W26" s="29" t="s">
        <v>32</v>
      </c>
      <c r="X26" s="31">
        <v>1455419</v>
      </c>
    </row>
    <row r="27" spans="23:24" x14ac:dyDescent="0.25">
      <c r="W27" s="30" t="s">
        <v>40</v>
      </c>
      <c r="X27" s="31">
        <v>311948</v>
      </c>
    </row>
    <row r="28" spans="23:24" x14ac:dyDescent="0.25">
      <c r="W28" s="30" t="s">
        <v>30</v>
      </c>
      <c r="X28" s="31">
        <v>502549</v>
      </c>
    </row>
    <row r="29" spans="23:24" x14ac:dyDescent="0.25">
      <c r="W29" s="30" t="s">
        <v>13</v>
      </c>
      <c r="X29" s="31">
        <v>223482</v>
      </c>
    </row>
    <row r="30" spans="23:24" x14ac:dyDescent="0.25">
      <c r="W30" s="30" t="s">
        <v>24</v>
      </c>
      <c r="X30" s="31">
        <v>417440</v>
      </c>
    </row>
    <row r="31" spans="23:24" x14ac:dyDescent="0.25">
      <c r="W31" s="29" t="s">
        <v>20</v>
      </c>
      <c r="X31" s="31">
        <v>1456821</v>
      </c>
    </row>
    <row r="32" spans="23:24" x14ac:dyDescent="0.25">
      <c r="W32" s="30" t="s">
        <v>40</v>
      </c>
      <c r="X32" s="31">
        <v>444692</v>
      </c>
    </row>
    <row r="33" spans="23:24" x14ac:dyDescent="0.25">
      <c r="W33" s="30" t="s">
        <v>30</v>
      </c>
      <c r="X33" s="31">
        <v>304293</v>
      </c>
    </row>
    <row r="34" spans="23:24" x14ac:dyDescent="0.25">
      <c r="W34" s="30" t="s">
        <v>13</v>
      </c>
      <c r="X34" s="31">
        <v>404042</v>
      </c>
    </row>
    <row r="35" spans="23:24" x14ac:dyDescent="0.25">
      <c r="W35" s="30" t="s">
        <v>24</v>
      </c>
      <c r="X35" s="31">
        <v>303794</v>
      </c>
    </row>
    <row r="36" spans="23:24" x14ac:dyDescent="0.25">
      <c r="W36" s="29" t="s">
        <v>71</v>
      </c>
      <c r="X36" s="31">
        <v>1379866</v>
      </c>
    </row>
    <row r="37" spans="23:24" x14ac:dyDescent="0.25">
      <c r="W37" s="30" t="s">
        <v>40</v>
      </c>
      <c r="X37" s="31">
        <v>418935</v>
      </c>
    </row>
    <row r="38" spans="23:24" x14ac:dyDescent="0.25">
      <c r="W38" s="30" t="s">
        <v>30</v>
      </c>
      <c r="X38" s="31">
        <v>230335</v>
      </c>
    </row>
    <row r="39" spans="23:24" x14ac:dyDescent="0.25">
      <c r="W39" s="30" t="s">
        <v>13</v>
      </c>
      <c r="X39" s="31">
        <v>382015</v>
      </c>
    </row>
    <row r="40" spans="23:24" x14ac:dyDescent="0.25">
      <c r="W40" s="30" t="s">
        <v>24</v>
      </c>
      <c r="X40" s="31">
        <v>348581</v>
      </c>
    </row>
    <row r="41" spans="23:24" x14ac:dyDescent="0.25">
      <c r="W41" s="29" t="s">
        <v>605</v>
      </c>
      <c r="X41" s="31">
        <v>10231623</v>
      </c>
    </row>
    <row r="43" spans="23:24" x14ac:dyDescent="0.25">
      <c r="W43" s="28" t="s">
        <v>604</v>
      </c>
      <c r="X43" t="s">
        <v>614</v>
      </c>
    </row>
    <row r="44" spans="23:24" x14ac:dyDescent="0.25">
      <c r="W44" s="29" t="s">
        <v>597</v>
      </c>
      <c r="X44" s="31">
        <v>15</v>
      </c>
    </row>
    <row r="45" spans="23:24" x14ac:dyDescent="0.25">
      <c r="W45" s="29" t="s">
        <v>598</v>
      </c>
      <c r="X45" s="31">
        <v>7</v>
      </c>
    </row>
    <row r="46" spans="23:24" x14ac:dyDescent="0.25">
      <c r="W46" s="29" t="s">
        <v>59</v>
      </c>
      <c r="X46" s="31">
        <v>103</v>
      </c>
    </row>
    <row r="47" spans="23:24" x14ac:dyDescent="0.25">
      <c r="W47" s="29" t="s">
        <v>27</v>
      </c>
      <c r="X47" s="31">
        <v>214</v>
      </c>
    </row>
    <row r="48" spans="23:24" x14ac:dyDescent="0.25">
      <c r="W48" s="29" t="s">
        <v>592</v>
      </c>
      <c r="X48" s="31">
        <v>5</v>
      </c>
    </row>
    <row r="49" spans="23:24" x14ac:dyDescent="0.25">
      <c r="W49" s="29" t="s">
        <v>34</v>
      </c>
      <c r="X49" s="31">
        <v>204</v>
      </c>
    </row>
    <row r="50" spans="23:24" x14ac:dyDescent="0.25">
      <c r="W50" s="29" t="s">
        <v>605</v>
      </c>
      <c r="X50" s="31">
        <v>548</v>
      </c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092E-451D-4D70-AF86-BDB182114A13}">
  <sheetPr>
    <tabColor rgb="FF00B050"/>
  </sheetPr>
  <dimension ref="AD1:AE36"/>
  <sheetViews>
    <sheetView tabSelected="1" zoomScale="80" zoomScaleNormal="80" workbookViewId="0">
      <selection activeCell="AB15" sqref="AB15"/>
    </sheetView>
  </sheetViews>
  <sheetFormatPr defaultRowHeight="15" x14ac:dyDescent="0.25"/>
  <cols>
    <col min="18" max="18" width="16" bestFit="1" customWidth="1"/>
    <col min="19" max="19" width="15.85546875" bestFit="1" customWidth="1"/>
    <col min="25" max="25" width="16" bestFit="1" customWidth="1"/>
    <col min="26" max="26" width="18" bestFit="1" customWidth="1"/>
    <col min="30" max="30" width="16" bestFit="1" customWidth="1"/>
    <col min="31" max="31" width="18" bestFit="1" customWidth="1"/>
  </cols>
  <sheetData>
    <row r="1" spans="30:31" x14ac:dyDescent="0.25">
      <c r="AD1" s="135" t="s">
        <v>630</v>
      </c>
      <c r="AE1" s="135" t="s">
        <v>646</v>
      </c>
    </row>
    <row r="2" spans="30:31" x14ac:dyDescent="0.25">
      <c r="AD2" s="20" t="str" cm="1">
        <f t="array" ref="AD2:AD6">_xlfn.UNIQUE(Posts!S2:S301)</f>
        <v>SummerSplash</v>
      </c>
      <c r="AE2" s="20">
        <f>SUMIF(Posts!$S$2:$S$301,'Campaign Efectiveness 4'!AD2,Posts!$I$2:$I$301)</f>
        <v>1846272</v>
      </c>
    </row>
    <row r="3" spans="30:31" x14ac:dyDescent="0.25">
      <c r="AD3" s="20" t="str">
        <v>DailyWellness</v>
      </c>
      <c r="AE3" s="20">
        <f>SUMIF(Posts!$S$2:$S$301,'Campaign Efectiveness 4'!AD3,Posts!$I$2:$I$301)</f>
        <v>2464864</v>
      </c>
    </row>
    <row r="4" spans="30:31" x14ac:dyDescent="0.25">
      <c r="AD4" s="20" t="str">
        <v>NewYearRefresh</v>
      </c>
      <c r="AE4" s="20">
        <f>SUMIF(Posts!$S$2:$S$301,'Campaign Efectiveness 4'!AD4,Posts!$I$2:$I$301)</f>
        <v>2266053</v>
      </c>
    </row>
    <row r="5" spans="30:31" x14ac:dyDescent="0.25">
      <c r="AD5" s="20" t="str">
        <v>FestiveRadiance</v>
      </c>
      <c r="AE5" s="20">
        <f>SUMIF(Posts!$S$2:$S$301,'Campaign Efectiveness 4'!AD5,Posts!$I$2:$I$301)</f>
        <v>1986356</v>
      </c>
    </row>
    <row r="6" spans="30:31" x14ac:dyDescent="0.25">
      <c r="AD6" s="20">
        <v>0</v>
      </c>
      <c r="AE6" s="20"/>
    </row>
    <row r="8" spans="30:31" x14ac:dyDescent="0.25">
      <c r="AD8" s="135" t="s">
        <v>630</v>
      </c>
      <c r="AE8" s="135" t="s">
        <v>647</v>
      </c>
    </row>
    <row r="9" spans="30:31" x14ac:dyDescent="0.25">
      <c r="AD9" s="20" t="s">
        <v>17</v>
      </c>
      <c r="AE9" s="20">
        <f ca="1">SUMIF(Posts!$S:$S,'Campaign Efectiveness 4'!AD9,Posts!F2:F301)</f>
        <v>136302</v>
      </c>
    </row>
    <row r="10" spans="30:31" x14ac:dyDescent="0.25">
      <c r="AD10" s="20" t="s">
        <v>35</v>
      </c>
      <c r="AE10" s="20">
        <f ca="1">SUMIF(Posts!$S:$S,'Campaign Efectiveness 4'!AD10,Posts!F3:F302)</f>
        <v>187249</v>
      </c>
    </row>
    <row r="11" spans="30:31" x14ac:dyDescent="0.25">
      <c r="AD11" s="20" t="s">
        <v>28</v>
      </c>
      <c r="AE11" s="20">
        <f ca="1">SUMIF(Posts!$S:$S,'Campaign Efectiveness 4'!AD11,Posts!F4:F303)</f>
        <v>184943</v>
      </c>
    </row>
    <row r="12" spans="30:31" x14ac:dyDescent="0.25">
      <c r="AD12" s="20" t="s">
        <v>22</v>
      </c>
      <c r="AE12" s="20">
        <f ca="1">SUMIF(Posts!$S:$S,'Campaign Efectiveness 4'!AD12,Posts!F5:F304)</f>
        <v>155500</v>
      </c>
    </row>
    <row r="14" spans="30:31" x14ac:dyDescent="0.25">
      <c r="AD14" s="135" t="s">
        <v>630</v>
      </c>
      <c r="AE14" s="135" t="s">
        <v>650</v>
      </c>
    </row>
    <row r="15" spans="30:31" x14ac:dyDescent="0.25">
      <c r="AD15" s="20" t="s">
        <v>17</v>
      </c>
      <c r="AE15" s="20">
        <f>SUMIF(Posts!$S:$S,'Campaign Efectiveness 4'!AD15,Posts!M:M)</f>
        <v>6434</v>
      </c>
    </row>
    <row r="16" spans="30:31" x14ac:dyDescent="0.25">
      <c r="AD16" s="20" t="s">
        <v>35</v>
      </c>
      <c r="AE16" s="20">
        <f>SUMIF(Posts!$S:$S,'Campaign Efectiveness 4'!AD16,Posts!M:M)</f>
        <v>10689</v>
      </c>
    </row>
    <row r="17" spans="30:31" x14ac:dyDescent="0.25">
      <c r="AD17" s="20" t="s">
        <v>28</v>
      </c>
      <c r="AE17" s="20">
        <f>SUMIF(Posts!$S:$S,'Campaign Efectiveness 4'!AD17,Posts!M:M)</f>
        <v>10032</v>
      </c>
    </row>
    <row r="18" spans="30:31" x14ac:dyDescent="0.25">
      <c r="AD18" s="20" t="s">
        <v>22</v>
      </c>
      <c r="AE18" s="20">
        <f>SUMIF(Posts!$S:$S,'Campaign Efectiveness 4'!AD18,Posts!M:M)</f>
        <v>9872</v>
      </c>
    </row>
    <row r="20" spans="30:31" x14ac:dyDescent="0.25">
      <c r="AD20" s="135" t="s">
        <v>630</v>
      </c>
      <c r="AE20" s="135" t="s">
        <v>648</v>
      </c>
    </row>
    <row r="21" spans="30:31" x14ac:dyDescent="0.25">
      <c r="AD21" s="20" t="s">
        <v>17</v>
      </c>
      <c r="AE21" s="32">
        <f ca="1">AVERAGEIF(Posts!$S:$S,'Campaign Efectiveness 4'!AD21,Posts!I2:I301)</f>
        <v>36356.291666666664</v>
      </c>
    </row>
    <row r="22" spans="30:31" x14ac:dyDescent="0.25">
      <c r="AD22" s="20" t="s">
        <v>35</v>
      </c>
      <c r="AE22" s="32">
        <f ca="1">AVERAGEIF(Posts!$S:$S,'Campaign Efectiveness 4'!AD22,Posts!I3:I302)</f>
        <v>36277.070422535209</v>
      </c>
    </row>
    <row r="23" spans="30:31" x14ac:dyDescent="0.25">
      <c r="AD23" s="20" t="s">
        <v>28</v>
      </c>
      <c r="AE23" s="32">
        <f ca="1">AVERAGEIF(Posts!$S:$S,'Campaign Efectiveness 4'!AD23,Posts!I4:I303)</f>
        <v>35070.803030303032</v>
      </c>
    </row>
    <row r="24" spans="30:31" x14ac:dyDescent="0.25">
      <c r="AD24" s="20" t="s">
        <v>22</v>
      </c>
      <c r="AE24" s="32">
        <f ca="1">AVERAGEIF(Posts!$S:$S,'Campaign Efectiveness 4'!AD24,Posts!I5:I304)</f>
        <v>36418.071428571428</v>
      </c>
    </row>
    <row r="26" spans="30:31" x14ac:dyDescent="0.25">
      <c r="AD26" s="135" t="s">
        <v>630</v>
      </c>
      <c r="AE26" s="135" t="s">
        <v>649</v>
      </c>
    </row>
    <row r="27" spans="30:31" x14ac:dyDescent="0.25">
      <c r="AD27" s="20" t="s">
        <v>17</v>
      </c>
      <c r="AE27" s="32">
        <f>AVERAGEIF(Posts!$S$2:$S$301,'Campaign Efectiveness 4'!AD27,Posts!$F:$F)</f>
        <v>2879.5744680851062</v>
      </c>
    </row>
    <row r="28" spans="30:31" x14ac:dyDescent="0.25">
      <c r="AD28" s="20" t="s">
        <v>35</v>
      </c>
      <c r="AE28" s="32">
        <f>AVERAGEIF(Posts!$S$2:$S$301,'Campaign Efectiveness 4'!AD28,Posts!$F:$F)</f>
        <v>2598.0281690140846</v>
      </c>
    </row>
    <row r="29" spans="30:31" x14ac:dyDescent="0.25">
      <c r="AD29" s="20" t="s">
        <v>28</v>
      </c>
      <c r="AE29" s="32">
        <f>AVERAGEIF(Posts!$S$2:$S$301,'Campaign Efectiveness 4'!AD29,Posts!$F:$F)</f>
        <v>2829.5223880597014</v>
      </c>
    </row>
    <row r="30" spans="30:31" x14ac:dyDescent="0.25">
      <c r="AD30" s="20" t="s">
        <v>22</v>
      </c>
      <c r="AE30" s="32">
        <f>AVERAGEIF(Posts!$S$2:$S$301,'Campaign Efectiveness 4'!AD30,Posts!$F:$F)</f>
        <v>2806.4827586206898</v>
      </c>
    </row>
    <row r="32" spans="30:31" x14ac:dyDescent="0.25">
      <c r="AD32" s="135" t="s">
        <v>630</v>
      </c>
      <c r="AE32" s="135" t="s">
        <v>651</v>
      </c>
    </row>
    <row r="33" spans="30:31" x14ac:dyDescent="0.25">
      <c r="AD33" s="136" t="s">
        <v>17</v>
      </c>
      <c r="AE33" s="32">
        <f>AVERAGEIF(Posts!$S:$S,'Campaign Efectiveness 4'!AD33,Posts!$M:$M)</f>
        <v>134.04166666666666</v>
      </c>
    </row>
    <row r="34" spans="30:31" x14ac:dyDescent="0.25">
      <c r="AD34" s="20" t="s">
        <v>35</v>
      </c>
      <c r="AE34" s="32">
        <f>AVERAGEIF(Posts!$S:$S,'Campaign Efectiveness 4'!AD34,Posts!$M:$M)</f>
        <v>150.54929577464787</v>
      </c>
    </row>
    <row r="35" spans="30:31" x14ac:dyDescent="0.25">
      <c r="AD35" s="20" t="s">
        <v>28</v>
      </c>
      <c r="AE35" s="32">
        <f>AVERAGEIF(Posts!$S:$S,'Campaign Efectiveness 4'!AD35,Posts!$M:$M)</f>
        <v>149.73134328358208</v>
      </c>
    </row>
    <row r="36" spans="30:31" x14ac:dyDescent="0.25">
      <c r="AD36" s="20" t="s">
        <v>22</v>
      </c>
      <c r="AE36" s="32">
        <f>AVERAGEIF(Posts!$S:$S,'Campaign Efectiveness 4'!AD36,Posts!$M:$M)</f>
        <v>170.20689655172413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B47B-9D20-48AA-926E-0EBA7BC800CC}">
  <sheetPr>
    <tabColor rgb="FF00B050"/>
  </sheetPr>
  <dimension ref="A1"/>
  <sheetViews>
    <sheetView workbookViewId="0">
      <selection activeCell="G19" sqref="G19"/>
    </sheetView>
  </sheetViews>
  <sheetFormatPr defaultRowHeight="15" x14ac:dyDescent="0.25"/>
  <cols>
    <col min="1" max="1" width="22" bestFit="1" customWidth="1"/>
    <col min="2" max="2" width="16.28515625" bestFit="1" customWidth="1"/>
    <col min="3" max="3" width="9.7109375" bestFit="1" customWidth="1"/>
    <col min="4" max="4" width="7.42578125" bestFit="1" customWidth="1"/>
    <col min="5" max="5" width="8.85546875" bestFit="1" customWidth="1"/>
    <col min="6" max="6" width="11.28515625" bestFit="1" customWidth="1"/>
    <col min="7" max="7" width="23" bestFit="1" customWidth="1"/>
    <col min="8" max="8" width="22" bestFit="1" customWidth="1"/>
    <col min="9" max="9" width="23" bestFit="1" customWidth="1"/>
    <col min="10" max="10" width="27" bestFit="1" customWidth="1"/>
    <col min="11" max="11" width="28" bestFit="1" customWidth="1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134F-1E2B-45A0-A5C2-47B4A672ECCC}">
  <dimension ref="A1:A2"/>
  <sheetViews>
    <sheetView workbookViewId="0">
      <selection activeCell="A2" sqref="A2"/>
    </sheetView>
  </sheetViews>
  <sheetFormatPr defaultRowHeight="15" x14ac:dyDescent="0.25"/>
  <cols>
    <col min="1" max="1" width="87.85546875" bestFit="1" customWidth="1"/>
  </cols>
  <sheetData>
    <row r="1" spans="1:1" x14ac:dyDescent="0.25">
      <c r="A1" s="137" t="s">
        <v>655</v>
      </c>
    </row>
    <row r="2" spans="1:1" x14ac:dyDescent="0.25">
      <c r="A2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Pivot Table</vt:lpstr>
      <vt:lpstr>Posts</vt:lpstr>
      <vt:lpstr>Campaign Metadata</vt:lpstr>
      <vt:lpstr>Engagement Summary</vt:lpstr>
      <vt:lpstr>Engagement Analysis 1</vt:lpstr>
      <vt:lpstr>SocialMedia Platform Analysis 2</vt:lpstr>
      <vt:lpstr>HasTags &amp; Content Strategy 3</vt:lpstr>
      <vt:lpstr>Campaign Efectiveness 4</vt:lpstr>
      <vt:lpstr>Follower Retention &amp; Audience 5</vt:lpstr>
      <vt:lpstr>Video Explanation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Dutta</dc:creator>
  <cp:lastModifiedBy>Sandip Dutta</cp:lastModifiedBy>
  <dcterms:created xsi:type="dcterms:W3CDTF">2025-05-26T02:16:03Z</dcterms:created>
  <dcterms:modified xsi:type="dcterms:W3CDTF">2026-04-05T09:30:06Z</dcterms:modified>
</cp:coreProperties>
</file>